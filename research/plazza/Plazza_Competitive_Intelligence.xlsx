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tegory Tree" sheetId="2" state="visible" r:id="rId2"/>
    <sheet xmlns:r="http://schemas.openxmlformats.org/officeDocument/2006/relationships" name="Master SKU Catalogue" sheetId="3" state="visible" r:id="rId3"/>
    <sheet xmlns:r="http://schemas.openxmlformats.org/officeDocument/2006/relationships" name="SKU Availability" sheetId="4" state="visible" r:id="rId4"/>
    <sheet xmlns:r="http://schemas.openxmlformats.org/officeDocument/2006/relationships" name="Medicine Details" sheetId="5" state="visible" r:id="rId5"/>
    <sheet xmlns:r="http://schemas.openxmlformats.org/officeDocument/2006/relationships" name="Pricing and Discounts" sheetId="6" state="visible" r:id="rId6"/>
    <sheet xmlns:r="http://schemas.openxmlformats.org/officeDocument/2006/relationships" name="Delivery ETA" sheetId="7" state="visible" r:id="rId7"/>
    <sheet xmlns:r="http://schemas.openxmlformats.org/officeDocument/2006/relationships" name="Checkout Fee Matrix" sheetId="8" state="visible" r:id="rId8"/>
    <sheet xmlns:r="http://schemas.openxmlformats.org/officeDocument/2006/relationships" name="Basket Experiments" sheetId="9" state="visible" r:id="rId9"/>
    <sheet xmlns:r="http://schemas.openxmlformats.org/officeDocument/2006/relationships" name="Promotions" sheetId="10" state="visible" r:id="rId10"/>
    <sheet xmlns:r="http://schemas.openxmlformats.org/officeDocument/2006/relationships" name="Search Tests" sheetId="11" state="visible" r:id="rId11"/>
    <sheet xmlns:r="http://schemas.openxmlformats.org/officeDocument/2006/relationships" name="Prescription Workflows" sheetId="12" state="visible" r:id="rId12"/>
    <sheet xmlns:r="http://schemas.openxmlformats.org/officeDocument/2006/relationships" name="Membership and Loyalty" sheetId="13" state="visible" r:id="rId13"/>
    <sheet xmlns:r="http://schemas.openxmlformats.org/officeDocument/2006/relationships" name="WhatsApp and Ordering Channels" sheetId="14" state="visible" r:id="rId14"/>
    <sheet xmlns:r="http://schemas.openxmlformats.org/officeDocument/2006/relationships" name="Serviceability" sheetId="15" state="visible" r:id="rId15"/>
    <sheet xmlns:r="http://schemas.openxmlformats.org/officeDocument/2006/relationships" name="Customer Experience" sheetId="16" state="visible" r:id="rId16"/>
    <sheet xmlns:r="http://schemas.openxmlformats.org/officeDocument/2006/relationships" name="Policies and Compliance" sheetId="17" state="visible" r:id="rId17"/>
    <sheet xmlns:r="http://schemas.openxmlformats.org/officeDocument/2006/relationships" name="Change Detection" sheetId="18" state="visible" r:id="rId18"/>
    <sheet xmlns:r="http://schemas.openxmlformats.org/officeDocument/2006/relationships" name="Pinzzo Comparison" sheetId="19" state="visible" r:id="rId19"/>
    <sheet xmlns:r="http://schemas.openxmlformats.org/officeDocument/2006/relationships" name="Data Quality and Limitation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A3A75"/>
      <sz val="13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A3A75"/>
      </patternFill>
    </fill>
    <fill>
      <patternFill patternType="solid">
        <fgColor rgb="00EEF8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  <col width="14" customWidth="1" min="3" max="3"/>
    <col width="40" customWidth="1" min="4" max="4"/>
    <col width="14" customWidth="1" min="5" max="5"/>
  </cols>
  <sheetData>
    <row r="1">
      <c r="A1" s="1" t="inlineStr">
        <is>
          <t>Executive Summary</t>
        </is>
      </c>
    </row>
    <row r="2">
      <c r="A2" s="2" t="inlineStr">
        <is>
          <t>Green rows = facts already captured on 2026-10-12. Formulas count the manual observation tabs.</t>
        </is>
      </c>
    </row>
    <row r="4">
      <c r="A4" s="3" t="inlineStr">
        <is>
          <t>Item</t>
        </is>
      </c>
      <c r="B4" s="3" t="inlineStr">
        <is>
          <t>Value</t>
        </is>
      </c>
      <c r="C4" s="3" t="inlineStr">
        <is>
          <t>Kind</t>
        </is>
      </c>
      <c r="D4" s="3" t="inlineStr">
        <is>
          <t>Source</t>
        </is>
      </c>
      <c r="E4" s="3" t="inlineStr">
        <is>
          <t>Observed</t>
        </is>
      </c>
    </row>
    <row r="5">
      <c r="A5" s="4" t="inlineStr">
        <is>
          <t>Target</t>
        </is>
      </c>
      <c r="B5" s="4" t="inlineStr">
        <is>
          <t>Plazza (plazza.in), PLAZZA HEALTH PRIVATE LIMITED</t>
        </is>
      </c>
      <c r="C5" s="4" t="inlineStr">
        <is>
          <t>observed</t>
        </is>
      </c>
      <c r="D5" s="4" t="inlineStr">
        <is>
          <t>https://plazza.in (schema.org JSON-LD in page HTML)</t>
        </is>
      </c>
      <c r="E5" s="4" t="inlineStr">
        <is>
          <t>2026-10-12</t>
        </is>
      </c>
    </row>
    <row r="6">
      <c r="A6" s="4" t="inlineStr">
        <is>
          <t>Registered/office address</t>
        </is>
      </c>
      <c r="B6" s="4" t="inlineStr">
        <is>
          <t>5th Floor, Tower A, No. 51, Innov8 Mantri Commercio, Bellandur, Bengaluru 560103</t>
        </is>
      </c>
      <c r="C6" s="4" t="inlineStr">
        <is>
          <t>claimed</t>
        </is>
      </c>
      <c r="D6" s="4" t="inlineStr">
        <is>
          <t>https://plazza.in (schema.org JSON-LD in page HTML)</t>
        </is>
      </c>
      <c r="E6" s="4" t="inlineStr">
        <is>
          <t>2026-10-12</t>
        </is>
      </c>
    </row>
    <row r="7">
      <c r="A7" s="4" t="inlineStr">
        <is>
          <t>Service area</t>
        </is>
      </c>
      <c r="B7" s="4" t="inlineStr">
        <is>
          <t>Bengaluru only (structured data and FAQ)</t>
        </is>
      </c>
      <c r="C7" s="4" t="inlineStr">
        <is>
          <t>claimed</t>
        </is>
      </c>
      <c r="D7" s="4" t="inlineStr">
        <is>
          <t>https://plazza.in (schema.org JSON-LD in page HTML)</t>
        </is>
      </c>
      <c r="E7" s="4" t="inlineStr">
        <is>
          <t>2026-10-12</t>
        </is>
      </c>
    </row>
    <row r="8">
      <c r="A8" s="4" t="inlineStr">
        <is>
          <t>Delivery promise</t>
        </is>
      </c>
      <c r="B8" s="4" t="inlineStr">
        <is>
          <t>15 minutes; handling 5–15 min stated in Offer data</t>
        </is>
      </c>
      <c r="C8" s="4" t="inlineStr">
        <is>
          <t>claimed</t>
        </is>
      </c>
      <c r="D8" s="4" t="inlineStr">
        <is>
          <t>https://plazza.in (schema.org JSON-LD in page HTML)</t>
        </is>
      </c>
      <c r="E8" s="4" t="inlineStr">
        <is>
          <t>2026-10-12</t>
        </is>
      </c>
    </row>
    <row r="9">
      <c r="A9" s="4" t="inlineStr">
        <is>
          <t>Hours</t>
        </is>
      </c>
      <c r="B9" s="4" t="inlineStr">
        <is>
          <t>24/7 (00:00–23:59 every day)</t>
        </is>
      </c>
      <c r="C9" s="4" t="inlineStr">
        <is>
          <t>claimed</t>
        </is>
      </c>
      <c r="D9" s="4" t="inlineStr">
        <is>
          <t>https://plazza.in (schema.org JSON-LD in page HTML)</t>
        </is>
      </c>
      <c r="E9" s="4" t="inlineStr">
        <is>
          <t>2026-10-12</t>
        </is>
      </c>
    </row>
    <row r="10">
      <c r="A10" s="4" t="inlineStr">
        <is>
          <t>Assortment claim</t>
        </is>
      </c>
      <c r="B10" s="4" t="inlineStr">
        <is>
          <t>Inconsistent: 20,000+ / 35,000+ / 100,000+ in different blocks</t>
        </is>
      </c>
      <c r="C10" s="4" t="inlineStr">
        <is>
          <t>claimed</t>
        </is>
      </c>
      <c r="D10" s="4" t="inlineStr">
        <is>
          <t>https://plazza.in (schema.org JSON-LD in page HTML)</t>
        </is>
      </c>
      <c r="E10" s="4" t="inlineStr">
        <is>
          <t>2026-10-12</t>
        </is>
      </c>
    </row>
    <row r="11">
      <c r="A11" s="4" t="inlineStr">
        <is>
          <t>Minimum order value</t>
        </is>
      </c>
      <c r="B11" s="4" t="inlineStr">
        <is>
          <t>None ("no minimum order value", FAQ)</t>
        </is>
      </c>
      <c r="C11" s="4" t="inlineStr">
        <is>
          <t>claimed</t>
        </is>
      </c>
      <c r="D11" s="4" t="inlineStr">
        <is>
          <t>https://plazza.in (schema.org JSON-LD in page HTML)</t>
        </is>
      </c>
      <c r="E11" s="4" t="inlineStr">
        <is>
          <t>2026-10-12</t>
        </is>
      </c>
    </row>
    <row r="12">
      <c r="A12" s="4" t="inlineStr">
        <is>
          <t>Shipping rate in Offer data</t>
        </is>
      </c>
      <c r="B12" s="4" t="inlineStr">
        <is>
          <t>₹0</t>
        </is>
      </c>
      <c r="C12" s="4" t="inlineStr">
        <is>
          <t>claimed</t>
        </is>
      </c>
      <c r="D12" s="4" t="inlineStr">
        <is>
          <t>https://plazza.in (schema.org JSON-LD in page HTML)</t>
        </is>
      </c>
      <c r="E12" s="4" t="inlineStr">
        <is>
          <t>2026-10-12</t>
        </is>
      </c>
    </row>
    <row r="13">
      <c r="A13" s="4" t="inlineStr">
        <is>
          <t>Payment methods</t>
        </is>
      </c>
      <c r="B13" s="4" t="inlineStr">
        <is>
          <t>COD, cards, UPI, net banking, wallets (FAQ)</t>
        </is>
      </c>
      <c r="C13" s="4" t="inlineStr">
        <is>
          <t>claimed</t>
        </is>
      </c>
      <c r="D13" s="4" t="inlineStr">
        <is>
          <t>https://plazza.in (schema.org JSON-LD in page HTML)</t>
        </is>
      </c>
      <c r="E13" s="4" t="inlineStr">
        <is>
          <t>2026-10-12</t>
        </is>
      </c>
    </row>
    <row r="14">
      <c r="A14" s="4" t="inlineStr">
        <is>
          <t>App rating (from their page)</t>
        </is>
      </c>
      <c r="B14" s="4" t="inlineStr">
        <is>
          <t>4.1 from 31 ratings; not verified against the stores</t>
        </is>
      </c>
      <c r="C14" s="4" t="inlineStr">
        <is>
          <t>claimed</t>
        </is>
      </c>
      <c r="D14" s="4" t="inlineStr">
        <is>
          <t>https://plazza.in (schema.org JSON-LD in page HTML)</t>
        </is>
      </c>
      <c r="E14" s="4" t="inlineStr">
        <is>
          <t>2026-10-12</t>
        </is>
      </c>
    </row>
    <row r="15">
      <c r="A15" s="4" t="inlineStr">
        <is>
          <t>Automated catalogue collection</t>
        </is>
      </c>
      <c r="B15" s="4" t="inlineStr">
        <is>
          <t>Not performed: product data loads only from /api/, which robots.txt disallows</t>
        </is>
      </c>
      <c r="C15" s="4" t="inlineStr">
        <is>
          <t>observed</t>
        </is>
      </c>
      <c r="D15" s="4" t="inlineStr">
        <is>
          <t>https://plazza.in/robots.txt</t>
        </is>
      </c>
      <c r="E15" s="4" t="inlineStr">
        <is>
          <t>2026-10-12</t>
        </is>
      </c>
    </row>
    <row r="16">
      <c r="A16" s="4" t="inlineStr">
        <is>
          <t>SKUs observed (manual)</t>
        </is>
      </c>
      <c r="B16" s="4">
        <f>COUNTA('Master SKU Catalogue'!D5:D5000)</f>
        <v/>
      </c>
      <c r="C16" s="4" t="inlineStr">
        <is>
          <t>calculated</t>
        </is>
      </c>
      <c r="D16" s="4" t="inlineStr">
        <is>
          <t>Master SKU Catalogue</t>
        </is>
      </c>
      <c r="E16" s="5" t="inlineStr"/>
    </row>
    <row r="17">
      <c r="A17" s="4" t="inlineStr">
        <is>
          <t>SKUs with selling price (manual)</t>
        </is>
      </c>
      <c r="B17" s="4">
        <f>COUNT('Master SKU Catalogue'!P5:P5000)</f>
        <v/>
      </c>
      <c r="C17" s="4" t="inlineStr">
        <is>
          <t>calculated</t>
        </is>
      </c>
      <c r="D17" s="4" t="inlineStr">
        <is>
          <t>Master SKU Catalogue</t>
        </is>
      </c>
      <c r="E17" s="5" t="inlineStr"/>
    </row>
    <row r="18">
      <c r="A18" s="4" t="inlineStr">
        <is>
          <t>Observed availability % (of SKUs with status)</t>
        </is>
      </c>
      <c r="B18" s="4">
        <f>IFERROR(ROUND(100*COUNTIF('Master SKU Catalogue'!R5:R5000,"in_stock")/(COUNTIF('Master SKU Catalogue'!R5:R5000,"in_stock")+COUNTIF('Master SKU Catalogue'!R5:R5000,"out_of_stock")),1),"n/a")</f>
        <v/>
      </c>
      <c r="C18" s="4" t="inlineStr">
        <is>
          <t>calculated</t>
        </is>
      </c>
      <c r="D18" s="4" t="inlineStr">
        <is>
          <t>Master SKU Catalogue</t>
        </is>
      </c>
      <c r="E18" s="5" t="inlineStr"/>
    </row>
    <row r="19">
      <c r="A19" s="4" t="inlineStr">
        <is>
          <t>Median discount % (manual)</t>
        </is>
      </c>
      <c r="B19" s="4">
        <f>IFERROR(MEDIAN('Master SKU Catalogue'!Q5:Q5000),"n/a")</f>
        <v/>
      </c>
      <c r="C19" s="4" t="inlineStr">
        <is>
          <t>calculated</t>
        </is>
      </c>
      <c r="D19" s="4" t="inlineStr">
        <is>
          <t>Master SKU Catalogue</t>
        </is>
      </c>
      <c r="E19" s="5" t="inlineStr"/>
    </row>
    <row r="20">
      <c r="A20" s="4" t="inlineStr">
        <is>
          <t>Basket scenarios recorded</t>
        </is>
      </c>
      <c r="B20" s="4">
        <f>COUNT('Basket Experiments'!L5:L100)</f>
        <v/>
      </c>
      <c r="C20" s="4" t="inlineStr">
        <is>
          <t>calculated</t>
        </is>
      </c>
      <c r="D20" s="4" t="inlineStr">
        <is>
          <t>Basket Experiments</t>
        </is>
      </c>
      <c r="E20" s="5" t="inlineStr"/>
    </row>
    <row r="21">
      <c r="A21" s="4" t="inlineStr">
        <is>
          <t>ETA rows (incl. claims)</t>
        </is>
      </c>
      <c r="B21" s="4">
        <f>COUNTA('Delivery ETA'!E5:E2000)</f>
        <v/>
      </c>
      <c r="C21" s="4" t="inlineStr">
        <is>
          <t>calculated</t>
        </is>
      </c>
      <c r="D21" s="4" t="inlineStr">
        <is>
          <t>Delivery ETA</t>
        </is>
      </c>
      <c r="E21" s="5" t="inlineStr"/>
    </row>
    <row r="22">
      <c r="A22" s="4" t="inlineStr">
        <is>
          <t>Search queries tested</t>
        </is>
      </c>
      <c r="B22" s="4">
        <f>COUNT('Search Tests'!C5:C200)</f>
        <v/>
      </c>
      <c r="C22" s="4" t="inlineStr">
        <is>
          <t>calculated</t>
        </is>
      </c>
      <c r="D22" s="4" t="inlineStr">
        <is>
          <t>Search Tests</t>
        </is>
      </c>
      <c r="E22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7" customWidth="1" min="4" max="4"/>
    <col width="16" customWidth="1" min="5" max="5"/>
    <col width="17" customWidth="1" min="6" max="6"/>
    <col width="14" customWidth="1" min="7" max="7"/>
    <col width="15" customWidth="1" min="8" max="8"/>
    <col width="18" customWidth="1" min="9" max="9"/>
    <col width="26" customWidth="1" min="10" max="10"/>
    <col width="14" customWidth="1" min="11" max="11"/>
    <col width="15" customWidth="1" min="12" max="12"/>
    <col width="14" customWidth="1" min="13" max="13"/>
    <col width="14" customWidth="1" min="14" max="14"/>
  </cols>
  <sheetData>
    <row r="1">
      <c r="A1" s="1" t="inlineStr">
        <is>
          <t>Category Tree</t>
        </is>
      </c>
    </row>
    <row r="2">
      <c r="A2" s="2" t="inlineStr">
        <is>
          <t>One row per category/subcategory seen in the app or website navigation.</t>
        </is>
      </c>
    </row>
    <row r="4">
      <c r="A4" s="3" t="inlineStr">
        <is>
          <t>Category ID (if shown)</t>
        </is>
      </c>
      <c r="B4" s="3" t="inlineStr">
        <is>
          <t>Category</t>
        </is>
      </c>
      <c r="C4" s="3" t="inlineStr">
        <is>
          <t>Parent</t>
        </is>
      </c>
      <c r="D4" s="3" t="inlineStr">
        <is>
          <t>Display order</t>
        </is>
      </c>
      <c r="E4" s="3" t="inlineStr">
        <is>
          <t>URL / screen</t>
        </is>
      </c>
      <c r="F4" s="3" t="inlineStr">
        <is>
          <t>Products seen</t>
        </is>
      </c>
      <c r="G4" s="3" t="inlineStr">
        <is>
          <t>Available</t>
        </is>
      </c>
      <c r="H4" s="3" t="inlineStr">
        <is>
          <t>Unavailable</t>
        </is>
      </c>
      <c r="I4" s="3" t="inlineStr">
        <is>
          <t>Category offer</t>
        </is>
      </c>
      <c r="J4" s="3" t="inlineStr">
        <is>
          <t>Delivery promise shown</t>
        </is>
      </c>
      <c r="K4" s="3" t="inlineStr">
        <is>
          <t>Badges</t>
        </is>
      </c>
      <c r="L4" s="3" t="inlineStr">
        <is>
          <t>Observed at</t>
        </is>
      </c>
      <c r="M4" s="3" t="inlineStr">
        <is>
          <t>Screenshot</t>
        </is>
      </c>
      <c r="N4" s="3" t="inlineStr">
        <is>
          <t>Notes</t>
        </is>
      </c>
    </row>
    <row r="5">
      <c r="A5" s="5" t="inlineStr"/>
      <c r="B5" s="4" t="inlineStr">
        <is>
          <t>Prescription Medicines; OTC; Vitamins &amp; Supplements; Baby Care; Personal Care</t>
        </is>
      </c>
      <c r="C5" s="5" t="inlineStr"/>
      <c r="D5" s="5" t="inlineStr"/>
      <c r="E5" s="4" t="inlineStr">
        <is>
          <t>homepage structured data</t>
        </is>
      </c>
      <c r="F5" s="5" t="inlineStr"/>
      <c r="G5" s="5" t="inlineStr"/>
      <c r="H5" s="5" t="inlineStr"/>
      <c r="I5" s="5" t="inlineStr"/>
      <c r="J5" s="5" t="inlineStr"/>
      <c r="K5" s="5" t="inlineStr"/>
      <c r="L5" s="4" t="inlineStr">
        <is>
          <t>2026-10-12</t>
        </is>
      </c>
      <c r="M5" s="5" t="inlineStr"/>
      <c r="N5" s="4" t="inlineStr">
        <is>
          <t>Claimed in schema.org ItemList, not navigation</t>
        </is>
      </c>
    </row>
    <row r="6">
      <c r="A6" s="5" t="inlineStr"/>
      <c r="B6" s="4" t="inlineStr">
        <is>
          <t>Fever; Cold &amp; Cough; Diabetes; Blood Pressure; Antibiotics; Vitamins</t>
        </is>
      </c>
      <c r="C6" s="5" t="inlineStr"/>
      <c r="D6" s="5" t="inlineStr"/>
      <c r="E6" s="4" t="inlineStr">
        <is>
          <t>homepage structured data</t>
        </is>
      </c>
      <c r="F6" s="5" t="inlineStr"/>
      <c r="G6" s="5" t="inlineStr"/>
      <c r="H6" s="5" t="inlineStr"/>
      <c r="I6" s="5" t="inlineStr"/>
      <c r="J6" s="5" t="inlineStr"/>
      <c r="K6" s="5" t="inlineStr"/>
      <c r="L6" s="4" t="inlineStr">
        <is>
          <t>2026-10-12</t>
        </is>
      </c>
      <c r="M6" s="5" t="inlineStr"/>
      <c r="N6" s="4" t="inlineStr">
        <is>
          <t>Claimed "popular categories" 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5" customWidth="1" min="3" max="3"/>
    <col width="34" customWidth="1" min="4" max="4"/>
    <col width="24" customWidth="1" min="5" max="5"/>
    <col width="26" customWidth="1" min="6" max="6"/>
    <col width="14" customWidth="1" min="7" max="7"/>
    <col width="16" customWidth="1" min="8" max="8"/>
    <col width="28" customWidth="1" min="9" max="9"/>
    <col width="14" customWidth="1" min="10" max="10"/>
    <col width="15" customWidth="1" min="11" max="11"/>
    <col width="14" customWidth="1" min="12" max="12"/>
    <col width="23" customWidth="1" min="13" max="13"/>
    <col width="14" customWidth="1" min="14" max="14"/>
    <col width="14" customWidth="1" min="15" max="15"/>
    <col width="19" customWidth="1" min="16" max="16"/>
    <col width="14" customWidth="1" min="17" max="17"/>
    <col width="16" customWidth="1" min="18" max="18"/>
    <col width="23" customWidth="1" min="19" max="19"/>
    <col width="20" customWidth="1" min="20" max="20"/>
    <col width="17" customWidth="1" min="21" max="21"/>
    <col width="21" customWidth="1" min="22" max="22"/>
    <col width="14" customWidth="1" min="23" max="23"/>
    <col width="14" customWidth="1" min="24" max="24"/>
  </cols>
  <sheetData>
    <row r="1">
      <c r="A1" s="1" t="inlineStr">
        <is>
          <t>Master SKU Catalogue</t>
        </is>
      </c>
    </row>
    <row r="2">
      <c r="A2" s="2" t="inlineStr">
        <is>
          <t>Record products as an ordinary customer sees them at the fixed address. Keep each pack size as its own row. Leave unknowns blank; never guess.</t>
        </is>
      </c>
    </row>
    <row r="4">
      <c r="A4" s="3" t="inlineStr">
        <is>
          <t>Obs ID</t>
        </is>
      </c>
      <c r="B4" s="3" t="inlineStr">
        <is>
          <t>Observed at (IST)</t>
        </is>
      </c>
      <c r="C4" s="3" t="inlineStr">
        <is>
          <t>Address PIN</t>
        </is>
      </c>
      <c r="D4" s="3" t="inlineStr">
        <is>
          <t>Product name (as shown)</t>
        </is>
      </c>
      <c r="E4" s="3" t="inlineStr">
        <is>
          <t>Product URL / screen</t>
        </is>
      </c>
      <c r="F4" s="3" t="inlineStr">
        <is>
          <t>Product ID (if in URL)</t>
        </is>
      </c>
      <c r="G4" s="3" t="inlineStr">
        <is>
          <t>Brand</t>
        </is>
      </c>
      <c r="H4" s="3" t="inlineStr">
        <is>
          <t>Manufacturer</t>
        </is>
      </c>
      <c r="I4" s="3" t="inlineStr">
        <is>
          <t>Composition</t>
        </is>
      </c>
      <c r="J4" s="3" t="inlineStr">
        <is>
          <t>Strength</t>
        </is>
      </c>
      <c r="K4" s="3" t="inlineStr">
        <is>
          <t>Dosage form</t>
        </is>
      </c>
      <c r="L4" s="3" t="inlineStr">
        <is>
          <t>Pack size</t>
        </is>
      </c>
      <c r="M4" s="3" t="inlineStr">
        <is>
          <t>Rx required (shown)</t>
        </is>
      </c>
      <c r="N4" s="3" t="inlineStr">
        <is>
          <t>Category</t>
        </is>
      </c>
      <c r="O4" s="3" t="inlineStr">
        <is>
          <t>MRP ₹</t>
        </is>
      </c>
      <c r="P4" s="3" t="inlineStr">
        <is>
          <t>Selling price ₹</t>
        </is>
      </c>
      <c r="Q4" s="3" t="inlineStr">
        <is>
          <t>Discount %</t>
        </is>
      </c>
      <c r="R4" s="3" t="inlineStr">
        <is>
          <t>Availability</t>
        </is>
      </c>
      <c r="S4" s="3" t="inlineStr">
        <is>
          <t>Add-to-cart enabled</t>
        </is>
      </c>
      <c r="T4" s="3" t="inlineStr">
        <is>
          <t>ETA text (exact)</t>
        </is>
      </c>
      <c r="U4" s="3" t="inlineStr">
        <is>
          <t>Max qty shown</t>
        </is>
      </c>
      <c r="V4" s="3" t="inlineStr">
        <is>
          <t>Substitutes shown</t>
        </is>
      </c>
      <c r="W4" s="3" t="inlineStr">
        <is>
          <t>Screenshot</t>
        </is>
      </c>
      <c r="X4" s="3" t="inlineStr">
        <is>
          <t>Notes</t>
        </is>
      </c>
    </row>
    <row r="5">
      <c r="Q5">
        <f>IF(AND(ISNUMBER(O5),ISNUMBER(P5),O5&gt;0),ROUND((O5-P5)/O5*100,1),"")</f>
        <v/>
      </c>
    </row>
    <row r="6">
      <c r="Q6">
        <f>IF(AND(ISNUMBER(O6),ISNUMBER(P6),O6&gt;0),ROUND((O6-P6)/O6*100,1),"")</f>
        <v/>
      </c>
    </row>
    <row r="7">
      <c r="Q7">
        <f>IF(AND(ISNUMBER(O7),ISNUMBER(P7),O7&gt;0),ROUND((O7-P7)/O7*100,1),"")</f>
        <v/>
      </c>
    </row>
    <row r="8">
      <c r="Q8">
        <f>IF(AND(ISNUMBER(O8),ISNUMBER(P8),O8&gt;0),ROUND((O8-P8)/O8*100,1),"")</f>
        <v/>
      </c>
    </row>
    <row r="9">
      <c r="Q9">
        <f>IF(AND(ISNUMBER(O9),ISNUMBER(P9),O9&gt;0),ROUND((O9-P9)/O9*100,1),"")</f>
        <v/>
      </c>
    </row>
    <row r="10">
      <c r="Q10">
        <f>IF(AND(ISNUMBER(O10),ISNUMBER(P10),O10&gt;0),ROUND((O10-P10)/O10*100,1),"")</f>
        <v/>
      </c>
    </row>
    <row r="11">
      <c r="Q11">
        <f>IF(AND(ISNUMBER(O11),ISNUMBER(P11),O11&gt;0),ROUND((O11-P11)/O11*100,1),"")</f>
        <v/>
      </c>
    </row>
    <row r="12">
      <c r="Q12">
        <f>IF(AND(ISNUMBER(O12),ISNUMBER(P12),O12&gt;0),ROUND((O12-P12)/O12*100,1),"")</f>
        <v/>
      </c>
    </row>
    <row r="13">
      <c r="Q13">
        <f>IF(AND(ISNUMBER(O13),ISNUMBER(P13),O13&gt;0),ROUND((O13-P13)/O13*100,1),"")</f>
        <v/>
      </c>
    </row>
    <row r="14">
      <c r="Q14">
        <f>IF(AND(ISNUMBER(O14),ISNUMBER(P14),O14&gt;0),ROUND((O14-P14)/O14*100,1),"")</f>
        <v/>
      </c>
    </row>
    <row r="15">
      <c r="Q15">
        <f>IF(AND(ISNUMBER(O15),ISNUMBER(P15),O15&gt;0),ROUND((O15-P15)/O15*100,1),"")</f>
        <v/>
      </c>
    </row>
    <row r="16">
      <c r="Q16">
        <f>IF(AND(ISNUMBER(O16),ISNUMBER(P16),O16&gt;0),ROUND((O16-P16)/O16*100,1),"")</f>
        <v/>
      </c>
    </row>
    <row r="17">
      <c r="Q17">
        <f>IF(AND(ISNUMBER(O17),ISNUMBER(P17),O17&gt;0),ROUND((O17-P17)/O17*100,1),"")</f>
        <v/>
      </c>
    </row>
    <row r="18">
      <c r="Q18">
        <f>IF(AND(ISNUMBER(O18),ISNUMBER(P18),O18&gt;0),ROUND((O18-P18)/O18*100,1),"")</f>
        <v/>
      </c>
    </row>
    <row r="19">
      <c r="Q19">
        <f>IF(AND(ISNUMBER(O19),ISNUMBER(P19),O19&gt;0),ROUND((O19-P19)/O19*100,1),"")</f>
        <v/>
      </c>
    </row>
    <row r="20">
      <c r="Q20">
        <f>IF(AND(ISNUMBER(O20),ISNUMBER(P20),O20&gt;0),ROUND((O20-P20)/O20*100,1),"")</f>
        <v/>
      </c>
    </row>
    <row r="21">
      <c r="Q21">
        <f>IF(AND(ISNUMBER(O21),ISNUMBER(P21),O21&gt;0),ROUND((O21-P21)/O21*100,1),"")</f>
        <v/>
      </c>
    </row>
    <row r="22">
      <c r="Q22">
        <f>IF(AND(ISNUMBER(O22),ISNUMBER(P22),O22&gt;0),ROUND((O22-P22)/O22*100,1),"")</f>
        <v/>
      </c>
    </row>
    <row r="23">
      <c r="Q23">
        <f>IF(AND(ISNUMBER(O23),ISNUMBER(P23),O23&gt;0),ROUND((O23-P23)/O23*100,1),"")</f>
        <v/>
      </c>
    </row>
    <row r="24">
      <c r="Q24">
        <f>IF(AND(ISNUMBER(O24),ISNUMBER(P24),O24&gt;0),ROUND((O24-P24)/O24*100,1),"")</f>
        <v/>
      </c>
    </row>
    <row r="25">
      <c r="Q25">
        <f>IF(AND(ISNUMBER(O25),ISNUMBER(P25),O25&gt;0),ROUND((O25-P25)/O25*100,1),"")</f>
        <v/>
      </c>
    </row>
    <row r="26">
      <c r="Q26">
        <f>IF(AND(ISNUMBER(O26),ISNUMBER(P26),O26&gt;0),ROUND((O26-P26)/O26*100,1),"")</f>
        <v/>
      </c>
    </row>
    <row r="27">
      <c r="Q27">
        <f>IF(AND(ISNUMBER(O27),ISNUMBER(P27),O27&gt;0),ROUND((O27-P27)/O27*100,1),"")</f>
        <v/>
      </c>
    </row>
    <row r="28">
      <c r="Q28">
        <f>IF(AND(ISNUMBER(O28),ISNUMBER(P28),O28&gt;0),ROUND((O28-P28)/O28*100,1),"")</f>
        <v/>
      </c>
    </row>
    <row r="29">
      <c r="Q29">
        <f>IF(AND(ISNUMBER(O29),ISNUMBER(P29),O29&gt;0),ROUND((O29-P29)/O29*100,1),"")</f>
        <v/>
      </c>
    </row>
    <row r="30">
      <c r="Q30">
        <f>IF(AND(ISNUMBER(O30),ISNUMBER(P30),O30&gt;0),ROUND((O30-P30)/O30*100,1),"")</f>
        <v/>
      </c>
    </row>
    <row r="31">
      <c r="Q31">
        <f>IF(AND(ISNUMBER(O31),ISNUMBER(P31),O31&gt;0),ROUND((O31-P31)/O31*100,1),"")</f>
        <v/>
      </c>
    </row>
    <row r="32">
      <c r="Q32">
        <f>IF(AND(ISNUMBER(O32),ISNUMBER(P32),O32&gt;0),ROUND((O32-P32)/O32*100,1),"")</f>
        <v/>
      </c>
    </row>
    <row r="33">
      <c r="Q33">
        <f>IF(AND(ISNUMBER(O33),ISNUMBER(P33),O33&gt;0),ROUND((O33-P33)/O33*100,1),"")</f>
        <v/>
      </c>
    </row>
    <row r="34">
      <c r="Q34">
        <f>IF(AND(ISNUMBER(O34),ISNUMBER(P34),O34&gt;0),ROUND((O34-P34)/O34*100,1),"")</f>
        <v/>
      </c>
    </row>
    <row r="35">
      <c r="Q35">
        <f>IF(AND(ISNUMBER(O35),ISNUMBER(P35),O35&gt;0),ROUND((O35-P35)/O35*100,1),"")</f>
        <v/>
      </c>
    </row>
    <row r="36">
      <c r="Q36">
        <f>IF(AND(ISNUMBER(O36),ISNUMBER(P36),O36&gt;0),ROUND((O36-P36)/O36*100,1),"")</f>
        <v/>
      </c>
    </row>
    <row r="37">
      <c r="Q37">
        <f>IF(AND(ISNUMBER(O37),ISNUMBER(P37),O37&gt;0),ROUND((O37-P37)/O37*100,1),"")</f>
        <v/>
      </c>
    </row>
    <row r="38">
      <c r="Q38">
        <f>IF(AND(ISNUMBER(O38),ISNUMBER(P38),O38&gt;0),ROUND((O38-P38)/O38*100,1),"")</f>
        <v/>
      </c>
    </row>
    <row r="39">
      <c r="Q39">
        <f>IF(AND(ISNUMBER(O39),ISNUMBER(P39),O39&gt;0),ROUND((O39-P39)/O39*100,1),"")</f>
        <v/>
      </c>
    </row>
    <row r="40">
      <c r="Q40">
        <f>IF(AND(ISNUMBER(O40),ISNUMBER(P40),O40&gt;0),ROUND((O40-P40)/O40*100,1),"")</f>
        <v/>
      </c>
    </row>
    <row r="41">
      <c r="Q41">
        <f>IF(AND(ISNUMBER(O41),ISNUMBER(P41),O41&gt;0),ROUND((O41-P41)/O41*100,1),"")</f>
        <v/>
      </c>
    </row>
    <row r="42">
      <c r="Q42">
        <f>IF(AND(ISNUMBER(O42),ISNUMBER(P42),O42&gt;0),ROUND((O42-P42)/O42*100,1),"")</f>
        <v/>
      </c>
    </row>
    <row r="43">
      <c r="Q43">
        <f>IF(AND(ISNUMBER(O43),ISNUMBER(P43),O43&gt;0),ROUND((O43-P43)/O43*100,1),"")</f>
        <v/>
      </c>
    </row>
    <row r="44">
      <c r="Q44">
        <f>IF(AND(ISNUMBER(O44),ISNUMBER(P44),O44&gt;0),ROUND((O44-P44)/O44*100,1),"")</f>
        <v/>
      </c>
    </row>
    <row r="45">
      <c r="Q45">
        <f>IF(AND(ISNUMBER(O45),ISNUMBER(P45),O45&gt;0),ROUND((O45-P45)/O45*100,1),"")</f>
        <v/>
      </c>
    </row>
    <row r="46">
      <c r="Q46">
        <f>IF(AND(ISNUMBER(O46),ISNUMBER(P46),O46&gt;0),ROUND((O46-P46)/O46*100,1),"")</f>
        <v/>
      </c>
    </row>
    <row r="47">
      <c r="Q47">
        <f>IF(AND(ISNUMBER(O47),ISNUMBER(P47),O47&gt;0),ROUND((O47-P47)/O47*100,1),"")</f>
        <v/>
      </c>
    </row>
    <row r="48">
      <c r="Q48">
        <f>IF(AND(ISNUMBER(O48),ISNUMBER(P48),O48&gt;0),ROUND((O48-P48)/O48*100,1),"")</f>
        <v/>
      </c>
    </row>
    <row r="49">
      <c r="Q49">
        <f>IF(AND(ISNUMBER(O49),ISNUMBER(P49),O49&gt;0),ROUND((O49-P49)/O49*100,1),"")</f>
        <v/>
      </c>
    </row>
    <row r="50">
      <c r="Q50">
        <f>IF(AND(ISNUMBER(O50),ISNUMBER(P50),O50&gt;0),ROUND((O50-P50)/O50*100,1),"")</f>
        <v/>
      </c>
    </row>
    <row r="51">
      <c r="Q51">
        <f>IF(AND(ISNUMBER(O51),ISNUMBER(P51),O51&gt;0),ROUND((O51-P51)/O51*100,1),"")</f>
        <v/>
      </c>
    </row>
    <row r="52">
      <c r="Q52">
        <f>IF(AND(ISNUMBER(O52),ISNUMBER(P52),O52&gt;0),ROUND((O52-P52)/O52*100,1),"")</f>
        <v/>
      </c>
    </row>
    <row r="53">
      <c r="Q53">
        <f>IF(AND(ISNUMBER(O53),ISNUMBER(P53),O53&gt;0),ROUND((O53-P53)/O53*100,1),"")</f>
        <v/>
      </c>
    </row>
    <row r="54">
      <c r="Q54">
        <f>IF(AND(ISNUMBER(O54),ISNUMBER(P54),O54&gt;0),ROUND((O54-P54)/O54*100,1),"")</f>
        <v/>
      </c>
    </row>
    <row r="55">
      <c r="Q55">
        <f>IF(AND(ISNUMBER(O55),ISNUMBER(P55),O55&gt;0),ROUND((O55-P55)/O55*100,1),"")</f>
        <v/>
      </c>
    </row>
    <row r="56">
      <c r="Q56">
        <f>IF(AND(ISNUMBER(O56),ISNUMBER(P56),O56&gt;0),ROUND((O56-P56)/O56*100,1),"")</f>
        <v/>
      </c>
    </row>
    <row r="57">
      <c r="Q57">
        <f>IF(AND(ISNUMBER(O57),ISNUMBER(P57),O57&gt;0),ROUND((O57-P57)/O57*100,1),"")</f>
        <v/>
      </c>
    </row>
    <row r="58">
      <c r="Q58">
        <f>IF(AND(ISNUMBER(O58),ISNUMBER(P58),O58&gt;0),ROUND((O58-P58)/O58*100,1),"")</f>
        <v/>
      </c>
    </row>
    <row r="59">
      <c r="Q59">
        <f>IF(AND(ISNUMBER(O59),ISNUMBER(P59),O59&gt;0),ROUND((O59-P59)/O59*100,1),"")</f>
        <v/>
      </c>
    </row>
    <row r="60">
      <c r="Q60">
        <f>IF(AND(ISNUMBER(O60),ISNUMBER(P60),O60&gt;0),ROUND((O60-P60)/O60*100,1),"")</f>
        <v/>
      </c>
    </row>
    <row r="61">
      <c r="Q61">
        <f>IF(AND(ISNUMBER(O61),ISNUMBER(P61),O61&gt;0),ROUND((O61-P61)/O61*100,1),"")</f>
        <v/>
      </c>
    </row>
    <row r="62">
      <c r="Q62">
        <f>IF(AND(ISNUMBER(O62),ISNUMBER(P62),O62&gt;0),ROUND((O62-P62)/O62*100,1),"")</f>
        <v/>
      </c>
    </row>
    <row r="63">
      <c r="Q63">
        <f>IF(AND(ISNUMBER(O63),ISNUMBER(P63),O63&gt;0),ROUND((O63-P63)/O63*100,1),"")</f>
        <v/>
      </c>
    </row>
    <row r="64">
      <c r="Q64">
        <f>IF(AND(ISNUMBER(O64),ISNUMBER(P64),O64&gt;0),ROUND((O64-P64)/O64*100,1),"")</f>
        <v/>
      </c>
    </row>
    <row r="65">
      <c r="Q65">
        <f>IF(AND(ISNUMBER(O65),ISNUMBER(P65),O65&gt;0),ROUND((O65-P65)/O65*100,1),"")</f>
        <v/>
      </c>
    </row>
    <row r="66">
      <c r="Q66">
        <f>IF(AND(ISNUMBER(O66),ISNUMBER(P66),O66&gt;0),ROUND((O66-P66)/O66*100,1),"")</f>
        <v/>
      </c>
    </row>
    <row r="67">
      <c r="Q67">
        <f>IF(AND(ISNUMBER(O67),ISNUMBER(P67),O67&gt;0),ROUND((O67-P67)/O67*100,1),"")</f>
        <v/>
      </c>
    </row>
    <row r="68">
      <c r="Q68">
        <f>IF(AND(ISNUMBER(O68),ISNUMBER(P68),O68&gt;0),ROUND((O68-P68)/O68*100,1),"")</f>
        <v/>
      </c>
    </row>
    <row r="69">
      <c r="Q69">
        <f>IF(AND(ISNUMBER(O69),ISNUMBER(P69),O69&gt;0),ROUND((O69-P69)/O69*100,1),"")</f>
        <v/>
      </c>
    </row>
    <row r="70">
      <c r="Q70">
        <f>IF(AND(ISNUMBER(O70),ISNUMBER(P70),O70&gt;0),ROUND((O70-P70)/O70*100,1),"")</f>
        <v/>
      </c>
    </row>
    <row r="71">
      <c r="Q71">
        <f>IF(AND(ISNUMBER(O71),ISNUMBER(P71),O71&gt;0),ROUND((O71-P71)/O71*100,1),"")</f>
        <v/>
      </c>
    </row>
    <row r="72">
      <c r="Q72">
        <f>IF(AND(ISNUMBER(O72),ISNUMBER(P72),O72&gt;0),ROUND((O72-P72)/O72*100,1),"")</f>
        <v/>
      </c>
    </row>
    <row r="73">
      <c r="Q73">
        <f>IF(AND(ISNUMBER(O73),ISNUMBER(P73),O73&gt;0),ROUND((O73-P73)/O73*100,1),"")</f>
        <v/>
      </c>
    </row>
    <row r="74">
      <c r="Q74">
        <f>IF(AND(ISNUMBER(O74),ISNUMBER(P74),O74&gt;0),ROUND((O74-P74)/O74*100,1),"")</f>
        <v/>
      </c>
    </row>
    <row r="75">
      <c r="Q75">
        <f>IF(AND(ISNUMBER(O75),ISNUMBER(P75),O75&gt;0),ROUND((O75-P75)/O75*100,1),"")</f>
        <v/>
      </c>
    </row>
    <row r="76">
      <c r="Q76">
        <f>IF(AND(ISNUMBER(O76),ISNUMBER(P76),O76&gt;0),ROUND((O76-P76)/O76*100,1),"")</f>
        <v/>
      </c>
    </row>
    <row r="77">
      <c r="Q77">
        <f>IF(AND(ISNUMBER(O77),ISNUMBER(P77),O77&gt;0),ROUND((O77-P77)/O77*100,1),"")</f>
        <v/>
      </c>
    </row>
    <row r="78">
      <c r="Q78">
        <f>IF(AND(ISNUMBER(O78),ISNUMBER(P78),O78&gt;0),ROUND((O78-P78)/O78*100,1),"")</f>
        <v/>
      </c>
    </row>
    <row r="79">
      <c r="Q79">
        <f>IF(AND(ISNUMBER(O79),ISNUMBER(P79),O79&gt;0),ROUND((O79-P79)/O79*100,1),"")</f>
        <v/>
      </c>
    </row>
    <row r="80">
      <c r="Q80">
        <f>IF(AND(ISNUMBER(O80),ISNUMBER(P80),O80&gt;0),ROUND((O80-P80)/O80*100,1),"")</f>
        <v/>
      </c>
    </row>
    <row r="81">
      <c r="Q81">
        <f>IF(AND(ISNUMBER(O81),ISNUMBER(P81),O81&gt;0),ROUND((O81-P81)/O81*100,1),"")</f>
        <v/>
      </c>
    </row>
    <row r="82">
      <c r="Q82">
        <f>IF(AND(ISNUMBER(O82),ISNUMBER(P82),O82&gt;0),ROUND((O82-P82)/O82*100,1),"")</f>
        <v/>
      </c>
    </row>
    <row r="83">
      <c r="Q83">
        <f>IF(AND(ISNUMBER(O83),ISNUMBER(P83),O83&gt;0),ROUND((O83-P83)/O83*100,1),"")</f>
        <v/>
      </c>
    </row>
    <row r="84">
      <c r="Q84">
        <f>IF(AND(ISNUMBER(O84),ISNUMBER(P84),O84&gt;0),ROUND((O84-P84)/O84*100,1),"")</f>
        <v/>
      </c>
    </row>
    <row r="85">
      <c r="Q85">
        <f>IF(AND(ISNUMBER(O85),ISNUMBER(P85),O85&gt;0),ROUND((O85-P85)/O85*100,1),"")</f>
        <v/>
      </c>
    </row>
    <row r="86">
      <c r="Q86">
        <f>IF(AND(ISNUMBER(O86),ISNUMBER(P86),O86&gt;0),ROUND((O86-P86)/O86*100,1),"")</f>
        <v/>
      </c>
    </row>
    <row r="87">
      <c r="Q87">
        <f>IF(AND(ISNUMBER(O87),ISNUMBER(P87),O87&gt;0),ROUND((O87-P87)/O87*100,1),"")</f>
        <v/>
      </c>
    </row>
    <row r="88">
      <c r="Q88">
        <f>IF(AND(ISNUMBER(O88),ISNUMBER(P88),O88&gt;0),ROUND((O88-P88)/O88*100,1),"")</f>
        <v/>
      </c>
    </row>
    <row r="89">
      <c r="Q89">
        <f>IF(AND(ISNUMBER(O89),ISNUMBER(P89),O89&gt;0),ROUND((O89-P89)/O89*100,1),"")</f>
        <v/>
      </c>
    </row>
    <row r="90">
      <c r="Q90">
        <f>IF(AND(ISNUMBER(O90),ISNUMBER(P90),O90&gt;0),ROUND((O90-P90)/O90*100,1),"")</f>
        <v/>
      </c>
    </row>
    <row r="91">
      <c r="Q91">
        <f>IF(AND(ISNUMBER(O91),ISNUMBER(P91),O91&gt;0),ROUND((O91-P91)/O91*100,1),"")</f>
        <v/>
      </c>
    </row>
    <row r="92">
      <c r="Q92">
        <f>IF(AND(ISNUMBER(O92),ISNUMBER(P92),O92&gt;0),ROUND((O92-P92)/O92*100,1),"")</f>
        <v/>
      </c>
    </row>
    <row r="93">
      <c r="Q93">
        <f>IF(AND(ISNUMBER(O93),ISNUMBER(P93),O93&gt;0),ROUND((O93-P93)/O93*100,1),"")</f>
        <v/>
      </c>
    </row>
    <row r="94">
      <c r="Q94">
        <f>IF(AND(ISNUMBER(O94),ISNUMBER(P94),O94&gt;0),ROUND((O94-P94)/O94*100,1),"")</f>
        <v/>
      </c>
    </row>
    <row r="95">
      <c r="Q95">
        <f>IF(AND(ISNUMBER(O95),ISNUMBER(P95),O95&gt;0),ROUND((O95-P95)/O95*100,1),"")</f>
        <v/>
      </c>
    </row>
    <row r="96">
      <c r="Q96">
        <f>IF(AND(ISNUMBER(O96),ISNUMBER(P96),O96&gt;0),ROUND((O96-P96)/O96*100,1),"")</f>
        <v/>
      </c>
    </row>
    <row r="97">
      <c r="Q97">
        <f>IF(AND(ISNUMBER(O97),ISNUMBER(P97),O97&gt;0),ROUND((O97-P97)/O97*100,1),"")</f>
        <v/>
      </c>
    </row>
    <row r="98">
      <c r="Q98">
        <f>IF(AND(ISNUMBER(O98),ISNUMBER(P98),O98&gt;0),ROUND((O98-P98)/O98*100,1),"")</f>
        <v/>
      </c>
    </row>
    <row r="99">
      <c r="Q99">
        <f>IF(AND(ISNUMBER(O99),ISNUMBER(P99),O99&gt;0),ROUND((O99-P99)/O99*100,1),"")</f>
        <v/>
      </c>
    </row>
    <row r="100">
      <c r="Q100">
        <f>IF(AND(ISNUMBER(O100),ISNUMBER(P100),O100&gt;0),ROUND((O100-P100)/O100*100,1),"")</f>
        <v/>
      </c>
    </row>
    <row r="101">
      <c r="Q101">
        <f>IF(AND(ISNUMBER(O101),ISNUMBER(P101),O101&gt;0),ROUND((O101-P101)/O101*100,1),"")</f>
        <v/>
      </c>
    </row>
    <row r="102">
      <c r="Q102">
        <f>IF(AND(ISNUMBER(O102),ISNUMBER(P102),O102&gt;0),ROUND((O102-P102)/O102*100,1),"")</f>
        <v/>
      </c>
    </row>
    <row r="103">
      <c r="Q103">
        <f>IF(AND(ISNUMBER(O103),ISNUMBER(P103),O103&gt;0),ROUND((O103-P103)/O103*100,1),"")</f>
        <v/>
      </c>
    </row>
    <row r="104">
      <c r="Q104">
        <f>IF(AND(ISNUMBER(O104),ISNUMBER(P104),O104&gt;0),ROUND((O104-P104)/O104*100,1),"")</f>
        <v/>
      </c>
    </row>
    <row r="105">
      <c r="Q105">
        <f>IF(AND(ISNUMBER(O105),ISNUMBER(P105),O105&gt;0),ROUND((O105-P105)/O105*100,1),"")</f>
        <v/>
      </c>
    </row>
    <row r="106">
      <c r="Q106">
        <f>IF(AND(ISNUMBER(O106),ISNUMBER(P106),O106&gt;0),ROUND((O106-P106)/O106*100,1),"")</f>
        <v/>
      </c>
    </row>
    <row r="107">
      <c r="Q107">
        <f>IF(AND(ISNUMBER(O107),ISNUMBER(P107),O107&gt;0),ROUND((O107-P107)/O107*100,1),"")</f>
        <v/>
      </c>
    </row>
    <row r="108">
      <c r="Q108">
        <f>IF(AND(ISNUMBER(O108),ISNUMBER(P108),O108&gt;0),ROUND((O108-P108)/O108*100,1),"")</f>
        <v/>
      </c>
    </row>
    <row r="109">
      <c r="Q109">
        <f>IF(AND(ISNUMBER(O109),ISNUMBER(P109),O109&gt;0),ROUND((O109-P109)/O109*100,1),"")</f>
        <v/>
      </c>
    </row>
    <row r="110">
      <c r="Q110">
        <f>IF(AND(ISNUMBER(O110),ISNUMBER(P110),O110&gt;0),ROUND((O110-P110)/O110*100,1),"")</f>
        <v/>
      </c>
    </row>
    <row r="111">
      <c r="Q111">
        <f>IF(AND(ISNUMBER(O111),ISNUMBER(P111),O111&gt;0),ROUND((O111-P111)/O111*100,1),"")</f>
        <v/>
      </c>
    </row>
    <row r="112">
      <c r="Q112">
        <f>IF(AND(ISNUMBER(O112),ISNUMBER(P112),O112&gt;0),ROUND((O112-P112)/O112*100,1),"")</f>
        <v/>
      </c>
    </row>
    <row r="113">
      <c r="Q113">
        <f>IF(AND(ISNUMBER(O113),ISNUMBER(P113),O113&gt;0),ROUND((O113-P113)/O113*100,1),"")</f>
        <v/>
      </c>
    </row>
    <row r="114">
      <c r="Q114">
        <f>IF(AND(ISNUMBER(O114),ISNUMBER(P114),O114&gt;0),ROUND((O114-P114)/O114*100,1),"")</f>
        <v/>
      </c>
    </row>
    <row r="115">
      <c r="Q115">
        <f>IF(AND(ISNUMBER(O115),ISNUMBER(P115),O115&gt;0),ROUND((O115-P115)/O115*100,1),"")</f>
        <v/>
      </c>
    </row>
    <row r="116">
      <c r="Q116">
        <f>IF(AND(ISNUMBER(O116),ISNUMBER(P116),O116&gt;0),ROUND((O116-P116)/O116*100,1),"")</f>
        <v/>
      </c>
    </row>
    <row r="117">
      <c r="Q117">
        <f>IF(AND(ISNUMBER(O117),ISNUMBER(P117),O117&gt;0),ROUND((O117-P117)/O117*100,1),"")</f>
        <v/>
      </c>
    </row>
    <row r="118">
      <c r="Q118">
        <f>IF(AND(ISNUMBER(O118),ISNUMBER(P118),O118&gt;0),ROUND((O118-P118)/O118*100,1),"")</f>
        <v/>
      </c>
    </row>
    <row r="119">
      <c r="Q119">
        <f>IF(AND(ISNUMBER(O119),ISNUMBER(P119),O119&gt;0),ROUND((O119-P119)/O119*100,1),"")</f>
        <v/>
      </c>
    </row>
    <row r="120">
      <c r="Q120">
        <f>IF(AND(ISNUMBER(O120),ISNUMBER(P120),O120&gt;0),ROUND((O120-P120)/O120*100,1),"")</f>
        <v/>
      </c>
    </row>
    <row r="121">
      <c r="Q121">
        <f>IF(AND(ISNUMBER(O121),ISNUMBER(P121),O121&gt;0),ROUND((O121-P121)/O121*100,1),"")</f>
        <v/>
      </c>
    </row>
    <row r="122">
      <c r="Q122">
        <f>IF(AND(ISNUMBER(O122),ISNUMBER(P122),O122&gt;0),ROUND((O122-P122)/O122*100,1),"")</f>
        <v/>
      </c>
    </row>
    <row r="123">
      <c r="Q123">
        <f>IF(AND(ISNUMBER(O123),ISNUMBER(P123),O123&gt;0),ROUND((O123-P123)/O123*100,1),"")</f>
        <v/>
      </c>
    </row>
    <row r="124">
      <c r="Q124">
        <f>IF(AND(ISNUMBER(O124),ISNUMBER(P124),O124&gt;0),ROUND((O124-P124)/O124*100,1),"")</f>
        <v/>
      </c>
    </row>
    <row r="125">
      <c r="Q125">
        <f>IF(AND(ISNUMBER(O125),ISNUMBER(P125),O125&gt;0),ROUND((O125-P125)/O125*100,1),"")</f>
        <v/>
      </c>
    </row>
    <row r="126">
      <c r="Q126">
        <f>IF(AND(ISNUMBER(O126),ISNUMBER(P126),O126&gt;0),ROUND((O126-P126)/O126*100,1),"")</f>
        <v/>
      </c>
    </row>
    <row r="127">
      <c r="Q127">
        <f>IF(AND(ISNUMBER(O127),ISNUMBER(P127),O127&gt;0),ROUND((O127-P127)/O127*100,1),"")</f>
        <v/>
      </c>
    </row>
    <row r="128">
      <c r="Q128">
        <f>IF(AND(ISNUMBER(O128),ISNUMBER(P128),O128&gt;0),ROUND((O128-P128)/O128*100,1),"")</f>
        <v/>
      </c>
    </row>
    <row r="129">
      <c r="Q129">
        <f>IF(AND(ISNUMBER(O129),ISNUMBER(P129),O129&gt;0),ROUND((O129-P129)/O129*100,1),"")</f>
        <v/>
      </c>
    </row>
    <row r="130">
      <c r="Q130">
        <f>IF(AND(ISNUMBER(O130),ISNUMBER(P130),O130&gt;0),ROUND((O130-P130)/O130*100,1),"")</f>
        <v/>
      </c>
    </row>
    <row r="131">
      <c r="Q131">
        <f>IF(AND(ISNUMBER(O131),ISNUMBER(P131),O131&gt;0),ROUND((O131-P131)/O131*100,1),"")</f>
        <v/>
      </c>
    </row>
    <row r="132">
      <c r="Q132">
        <f>IF(AND(ISNUMBER(O132),ISNUMBER(P132),O132&gt;0),ROUND((O132-P132)/O132*100,1),"")</f>
        <v/>
      </c>
    </row>
    <row r="133">
      <c r="Q133">
        <f>IF(AND(ISNUMBER(O133),ISNUMBER(P133),O133&gt;0),ROUND((O133-P133)/O133*100,1),"")</f>
        <v/>
      </c>
    </row>
    <row r="134">
      <c r="Q134">
        <f>IF(AND(ISNUMBER(O134),ISNUMBER(P134),O134&gt;0),ROUND((O134-P134)/O134*100,1),"")</f>
        <v/>
      </c>
    </row>
    <row r="135">
      <c r="Q135">
        <f>IF(AND(ISNUMBER(O135),ISNUMBER(P135),O135&gt;0),ROUND((O135-P135)/O135*100,1),"")</f>
        <v/>
      </c>
    </row>
    <row r="136">
      <c r="Q136">
        <f>IF(AND(ISNUMBER(O136),ISNUMBER(P136),O136&gt;0),ROUND((O136-P136)/O136*100,1),"")</f>
        <v/>
      </c>
    </row>
    <row r="137">
      <c r="Q137">
        <f>IF(AND(ISNUMBER(O137),ISNUMBER(P137),O137&gt;0),ROUND((O137-P137)/O137*100,1),"")</f>
        <v/>
      </c>
    </row>
    <row r="138">
      <c r="Q138">
        <f>IF(AND(ISNUMBER(O138),ISNUMBER(P138),O138&gt;0),ROUND((O138-P138)/O138*100,1),"")</f>
        <v/>
      </c>
    </row>
    <row r="139">
      <c r="Q139">
        <f>IF(AND(ISNUMBER(O139),ISNUMBER(P139),O139&gt;0),ROUND((O139-P139)/O139*100,1),"")</f>
        <v/>
      </c>
    </row>
    <row r="140">
      <c r="Q140">
        <f>IF(AND(ISNUMBER(O140),ISNUMBER(P140),O140&gt;0),ROUND((O140-P140)/O140*100,1),"")</f>
        <v/>
      </c>
    </row>
    <row r="141">
      <c r="Q141">
        <f>IF(AND(ISNUMBER(O141),ISNUMBER(P141),O141&gt;0),ROUND((O141-P141)/O141*100,1),"")</f>
        <v/>
      </c>
    </row>
    <row r="142">
      <c r="Q142">
        <f>IF(AND(ISNUMBER(O142),ISNUMBER(P142),O142&gt;0),ROUND((O142-P142)/O142*100,1),"")</f>
        <v/>
      </c>
    </row>
    <row r="143">
      <c r="Q143">
        <f>IF(AND(ISNUMBER(O143),ISNUMBER(P143),O143&gt;0),ROUND((O143-P143)/O143*100,1),"")</f>
        <v/>
      </c>
    </row>
    <row r="144">
      <c r="Q144">
        <f>IF(AND(ISNUMBER(O144),ISNUMBER(P144),O144&gt;0),ROUND((O144-P144)/O144*100,1),"")</f>
        <v/>
      </c>
    </row>
    <row r="145">
      <c r="Q145">
        <f>IF(AND(ISNUMBER(O145),ISNUMBER(P145),O145&gt;0),ROUND((O145-P145)/O145*100,1),"")</f>
        <v/>
      </c>
    </row>
    <row r="146">
      <c r="Q146">
        <f>IF(AND(ISNUMBER(O146),ISNUMBER(P146),O146&gt;0),ROUND((O146-P146)/O146*100,1),"")</f>
        <v/>
      </c>
    </row>
    <row r="147">
      <c r="Q147">
        <f>IF(AND(ISNUMBER(O147),ISNUMBER(P147),O147&gt;0),ROUND((O147-P147)/O147*100,1),"")</f>
        <v/>
      </c>
    </row>
    <row r="148">
      <c r="Q148">
        <f>IF(AND(ISNUMBER(O148),ISNUMBER(P148),O148&gt;0),ROUND((O148-P148)/O148*100,1),"")</f>
        <v/>
      </c>
    </row>
    <row r="149">
      <c r="Q149">
        <f>IF(AND(ISNUMBER(O149),ISNUMBER(P149),O149&gt;0),ROUND((O149-P149)/O149*100,1),"")</f>
        <v/>
      </c>
    </row>
    <row r="150">
      <c r="Q150">
        <f>IF(AND(ISNUMBER(O150),ISNUMBER(P150),O150&gt;0),ROUND((O150-P150)/O150*100,1),"")</f>
        <v/>
      </c>
    </row>
    <row r="151">
      <c r="Q151">
        <f>IF(AND(ISNUMBER(O151),ISNUMBER(P151),O151&gt;0),ROUND((O151-P151)/O151*100,1),"")</f>
        <v/>
      </c>
    </row>
    <row r="152">
      <c r="Q152">
        <f>IF(AND(ISNUMBER(O152),ISNUMBER(P152),O152&gt;0),ROUND((O152-P152)/O152*100,1),"")</f>
        <v/>
      </c>
    </row>
    <row r="153">
      <c r="Q153">
        <f>IF(AND(ISNUMBER(O153),ISNUMBER(P153),O153&gt;0),ROUND((O153-P153)/O153*100,1),"")</f>
        <v/>
      </c>
    </row>
    <row r="154">
      <c r="Q154">
        <f>IF(AND(ISNUMBER(O154),ISNUMBER(P154),O154&gt;0),ROUND((O154-P154)/O154*100,1),"")</f>
        <v/>
      </c>
    </row>
    <row r="155">
      <c r="Q155">
        <f>IF(AND(ISNUMBER(O155),ISNUMBER(P155),O155&gt;0),ROUND((O155-P155)/O155*100,1),"")</f>
        <v/>
      </c>
    </row>
    <row r="156">
      <c r="Q156">
        <f>IF(AND(ISNUMBER(O156),ISNUMBER(P156),O156&gt;0),ROUND((O156-P156)/O156*100,1),"")</f>
        <v/>
      </c>
    </row>
    <row r="157">
      <c r="Q157">
        <f>IF(AND(ISNUMBER(O157),ISNUMBER(P157),O157&gt;0),ROUND((O157-P157)/O157*100,1),"")</f>
        <v/>
      </c>
    </row>
    <row r="158">
      <c r="Q158">
        <f>IF(AND(ISNUMBER(O158),ISNUMBER(P158),O158&gt;0),ROUND((O158-P158)/O158*100,1),"")</f>
        <v/>
      </c>
    </row>
    <row r="159">
      <c r="Q159">
        <f>IF(AND(ISNUMBER(O159),ISNUMBER(P159),O159&gt;0),ROUND((O159-P159)/O159*100,1),"")</f>
        <v/>
      </c>
    </row>
    <row r="160">
      <c r="Q160">
        <f>IF(AND(ISNUMBER(O160),ISNUMBER(P160),O160&gt;0),ROUND((O160-P160)/O160*100,1),"")</f>
        <v/>
      </c>
    </row>
    <row r="161">
      <c r="Q161">
        <f>IF(AND(ISNUMBER(O161),ISNUMBER(P161),O161&gt;0),ROUND((O161-P161)/O161*100,1),"")</f>
        <v/>
      </c>
    </row>
    <row r="162">
      <c r="Q162">
        <f>IF(AND(ISNUMBER(O162),ISNUMBER(P162),O162&gt;0),ROUND((O162-P162)/O162*100,1),"")</f>
        <v/>
      </c>
    </row>
    <row r="163">
      <c r="Q163">
        <f>IF(AND(ISNUMBER(O163),ISNUMBER(P163),O163&gt;0),ROUND((O163-P163)/O163*100,1),"")</f>
        <v/>
      </c>
    </row>
    <row r="164">
      <c r="Q164">
        <f>IF(AND(ISNUMBER(O164),ISNUMBER(P164),O164&gt;0),ROUND((O164-P164)/O164*100,1),"")</f>
        <v/>
      </c>
    </row>
    <row r="165">
      <c r="Q165">
        <f>IF(AND(ISNUMBER(O165),ISNUMBER(P165),O165&gt;0),ROUND((O165-P165)/O165*100,1),"")</f>
        <v/>
      </c>
    </row>
    <row r="166">
      <c r="Q166">
        <f>IF(AND(ISNUMBER(O166),ISNUMBER(P166),O166&gt;0),ROUND((O166-P166)/O166*100,1),"")</f>
        <v/>
      </c>
    </row>
    <row r="167">
      <c r="Q167">
        <f>IF(AND(ISNUMBER(O167),ISNUMBER(P167),O167&gt;0),ROUND((O167-P167)/O167*100,1),"")</f>
        <v/>
      </c>
    </row>
    <row r="168">
      <c r="Q168">
        <f>IF(AND(ISNUMBER(O168),ISNUMBER(P168),O168&gt;0),ROUND((O168-P168)/O168*100,1),"")</f>
        <v/>
      </c>
    </row>
    <row r="169">
      <c r="Q169">
        <f>IF(AND(ISNUMBER(O169),ISNUMBER(P169),O169&gt;0),ROUND((O169-P169)/O169*100,1),"")</f>
        <v/>
      </c>
    </row>
    <row r="170">
      <c r="Q170">
        <f>IF(AND(ISNUMBER(O170),ISNUMBER(P170),O170&gt;0),ROUND((O170-P170)/O170*100,1),"")</f>
        <v/>
      </c>
    </row>
    <row r="171">
      <c r="Q171">
        <f>IF(AND(ISNUMBER(O171),ISNUMBER(P171),O171&gt;0),ROUND((O171-P171)/O171*100,1),"")</f>
        <v/>
      </c>
    </row>
    <row r="172">
      <c r="Q172">
        <f>IF(AND(ISNUMBER(O172),ISNUMBER(P172),O172&gt;0),ROUND((O172-P172)/O172*100,1),"")</f>
        <v/>
      </c>
    </row>
    <row r="173">
      <c r="Q173">
        <f>IF(AND(ISNUMBER(O173),ISNUMBER(P173),O173&gt;0),ROUND((O173-P173)/O173*100,1),"")</f>
        <v/>
      </c>
    </row>
    <row r="174">
      <c r="Q174">
        <f>IF(AND(ISNUMBER(O174),ISNUMBER(P174),O174&gt;0),ROUND((O174-P174)/O174*100,1),"")</f>
        <v/>
      </c>
    </row>
    <row r="175">
      <c r="Q175">
        <f>IF(AND(ISNUMBER(O175),ISNUMBER(P175),O175&gt;0),ROUND((O175-P175)/O175*100,1),"")</f>
        <v/>
      </c>
    </row>
    <row r="176">
      <c r="Q176">
        <f>IF(AND(ISNUMBER(O176),ISNUMBER(P176),O176&gt;0),ROUND((O176-P176)/O176*100,1),"")</f>
        <v/>
      </c>
    </row>
    <row r="177">
      <c r="Q177">
        <f>IF(AND(ISNUMBER(O177),ISNUMBER(P177),O177&gt;0),ROUND((O177-P177)/O177*100,1),"")</f>
        <v/>
      </c>
    </row>
    <row r="178">
      <c r="Q178">
        <f>IF(AND(ISNUMBER(O178),ISNUMBER(P178),O178&gt;0),ROUND((O178-P178)/O178*100,1),"")</f>
        <v/>
      </c>
    </row>
    <row r="179">
      <c r="Q179">
        <f>IF(AND(ISNUMBER(O179),ISNUMBER(P179),O179&gt;0),ROUND((O179-P179)/O179*100,1),"")</f>
        <v/>
      </c>
    </row>
    <row r="180">
      <c r="Q180">
        <f>IF(AND(ISNUMBER(O180),ISNUMBER(P180),O180&gt;0),ROUND((O180-P180)/O180*100,1),"")</f>
        <v/>
      </c>
    </row>
    <row r="181">
      <c r="Q181">
        <f>IF(AND(ISNUMBER(O181),ISNUMBER(P181),O181&gt;0),ROUND((O181-P181)/O181*100,1),"")</f>
        <v/>
      </c>
    </row>
    <row r="182">
      <c r="Q182">
        <f>IF(AND(ISNUMBER(O182),ISNUMBER(P182),O182&gt;0),ROUND((O182-P182)/O182*100,1),"")</f>
        <v/>
      </c>
    </row>
    <row r="183">
      <c r="Q183">
        <f>IF(AND(ISNUMBER(O183),ISNUMBER(P183),O183&gt;0),ROUND((O183-P183)/O183*100,1),"")</f>
        <v/>
      </c>
    </row>
    <row r="184">
      <c r="Q184">
        <f>IF(AND(ISNUMBER(O184),ISNUMBER(P184),O184&gt;0),ROUND((O184-P184)/O184*100,1),"")</f>
        <v/>
      </c>
    </row>
    <row r="185">
      <c r="Q185">
        <f>IF(AND(ISNUMBER(O185),ISNUMBER(P185),O185&gt;0),ROUND((O185-P185)/O185*100,1),"")</f>
        <v/>
      </c>
    </row>
    <row r="186">
      <c r="Q186">
        <f>IF(AND(ISNUMBER(O186),ISNUMBER(P186),O186&gt;0),ROUND((O186-P186)/O186*100,1),"")</f>
        <v/>
      </c>
    </row>
    <row r="187">
      <c r="Q187">
        <f>IF(AND(ISNUMBER(O187),ISNUMBER(P187),O187&gt;0),ROUND((O187-P187)/O187*100,1),"")</f>
        <v/>
      </c>
    </row>
    <row r="188">
      <c r="Q188">
        <f>IF(AND(ISNUMBER(O188),ISNUMBER(P188),O188&gt;0),ROUND((O188-P188)/O188*100,1),"")</f>
        <v/>
      </c>
    </row>
    <row r="189">
      <c r="Q189">
        <f>IF(AND(ISNUMBER(O189),ISNUMBER(P189),O189&gt;0),ROUND((O189-P189)/O189*100,1),"")</f>
        <v/>
      </c>
    </row>
    <row r="190">
      <c r="Q190">
        <f>IF(AND(ISNUMBER(O190),ISNUMBER(P190),O190&gt;0),ROUND((O190-P190)/O190*100,1),"")</f>
        <v/>
      </c>
    </row>
    <row r="191">
      <c r="Q191">
        <f>IF(AND(ISNUMBER(O191),ISNUMBER(P191),O191&gt;0),ROUND((O191-P191)/O191*100,1),"")</f>
        <v/>
      </c>
    </row>
    <row r="192">
      <c r="Q192">
        <f>IF(AND(ISNUMBER(O192),ISNUMBER(P192),O192&gt;0),ROUND((O192-P192)/O192*100,1),"")</f>
        <v/>
      </c>
    </row>
    <row r="193">
      <c r="Q193">
        <f>IF(AND(ISNUMBER(O193),ISNUMBER(P193),O193&gt;0),ROUND((O193-P193)/O193*100,1),"")</f>
        <v/>
      </c>
    </row>
    <row r="194">
      <c r="Q194">
        <f>IF(AND(ISNUMBER(O194),ISNUMBER(P194),O194&gt;0),ROUND((O194-P194)/O194*100,1),"")</f>
        <v/>
      </c>
    </row>
    <row r="195">
      <c r="Q195">
        <f>IF(AND(ISNUMBER(O195),ISNUMBER(P195),O195&gt;0),ROUND((O195-P195)/O195*100,1),"")</f>
        <v/>
      </c>
    </row>
    <row r="196">
      <c r="Q196">
        <f>IF(AND(ISNUMBER(O196),ISNUMBER(P196),O196&gt;0),ROUND((O196-P196)/O196*100,1),"")</f>
        <v/>
      </c>
    </row>
    <row r="197">
      <c r="Q197">
        <f>IF(AND(ISNUMBER(O197),ISNUMBER(P197),O197&gt;0),ROUND((O197-P197)/O197*100,1),"")</f>
        <v/>
      </c>
    </row>
    <row r="198">
      <c r="Q198">
        <f>IF(AND(ISNUMBER(O198),ISNUMBER(P198),O198&gt;0),ROUND((O198-P198)/O198*100,1),"")</f>
        <v/>
      </c>
    </row>
    <row r="199">
      <c r="Q199">
        <f>IF(AND(ISNUMBER(O199),ISNUMBER(P199),O199&gt;0),ROUND((O199-P199)/O199*100,1),"")</f>
        <v/>
      </c>
    </row>
    <row r="200">
      <c r="Q200">
        <f>IF(AND(ISNUMBER(O200),ISNUMBER(P200),O200&gt;0),ROUND((O200-P200)/O200*100,1),"")</f>
        <v/>
      </c>
    </row>
    <row r="201">
      <c r="Q201">
        <f>IF(AND(ISNUMBER(O201),ISNUMBER(P201),O201&gt;0),ROUND((O201-P201)/O201*100,1),"")</f>
        <v/>
      </c>
    </row>
    <row r="202">
      <c r="Q202">
        <f>IF(AND(ISNUMBER(O202),ISNUMBER(P202),O202&gt;0),ROUND((O202-P202)/O202*100,1),"")</f>
        <v/>
      </c>
    </row>
    <row r="203">
      <c r="Q203">
        <f>IF(AND(ISNUMBER(O203),ISNUMBER(P203),O203&gt;0),ROUND((O203-P203)/O203*100,1),"")</f>
        <v/>
      </c>
    </row>
    <row r="204">
      <c r="Q204">
        <f>IF(AND(ISNUMBER(O204),ISNUMBER(P204),O204&gt;0),ROUND((O204-P204)/O204*100,1),"")</f>
        <v/>
      </c>
    </row>
    <row r="205">
      <c r="Q205">
        <f>IF(AND(ISNUMBER(O205),ISNUMBER(P205),O205&gt;0),ROUND((O205-P205)/O205*100,1),"")</f>
        <v/>
      </c>
    </row>
    <row r="206">
      <c r="Q206">
        <f>IF(AND(ISNUMBER(O206),ISNUMBER(P206),O206&gt;0),ROUND((O206-P206)/O206*100,1),"")</f>
        <v/>
      </c>
    </row>
    <row r="207">
      <c r="Q207">
        <f>IF(AND(ISNUMBER(O207),ISNUMBER(P207),O207&gt;0),ROUND((O207-P207)/O207*100,1),"")</f>
        <v/>
      </c>
    </row>
    <row r="208">
      <c r="Q208">
        <f>IF(AND(ISNUMBER(O208),ISNUMBER(P208),O208&gt;0),ROUND((O208-P208)/O208*100,1),"")</f>
        <v/>
      </c>
    </row>
    <row r="209">
      <c r="Q209">
        <f>IF(AND(ISNUMBER(O209),ISNUMBER(P209),O209&gt;0),ROUND((O209-P209)/O209*100,1),"")</f>
        <v/>
      </c>
    </row>
    <row r="210">
      <c r="Q210">
        <f>IF(AND(ISNUMBER(O210),ISNUMBER(P210),O210&gt;0),ROUND((O210-P210)/O210*100,1),"")</f>
        <v/>
      </c>
    </row>
    <row r="211">
      <c r="Q211">
        <f>IF(AND(ISNUMBER(O211),ISNUMBER(P211),O211&gt;0),ROUND((O211-P211)/O211*100,1),"")</f>
        <v/>
      </c>
    </row>
    <row r="212">
      <c r="Q212">
        <f>IF(AND(ISNUMBER(O212),ISNUMBER(P212),O212&gt;0),ROUND((O212-P212)/O212*100,1),"")</f>
        <v/>
      </c>
    </row>
    <row r="213">
      <c r="Q213">
        <f>IF(AND(ISNUMBER(O213),ISNUMBER(P213),O213&gt;0),ROUND((O213-P213)/O213*100,1),"")</f>
        <v/>
      </c>
    </row>
    <row r="214">
      <c r="Q214">
        <f>IF(AND(ISNUMBER(O214),ISNUMBER(P214),O214&gt;0),ROUND((O214-P214)/O214*100,1),"")</f>
        <v/>
      </c>
    </row>
    <row r="215">
      <c r="Q215">
        <f>IF(AND(ISNUMBER(O215),ISNUMBER(P215),O215&gt;0),ROUND((O215-P215)/O215*100,1),"")</f>
        <v/>
      </c>
    </row>
    <row r="216">
      <c r="Q216">
        <f>IF(AND(ISNUMBER(O216),ISNUMBER(P216),O216&gt;0),ROUND((O216-P216)/O216*100,1),"")</f>
        <v/>
      </c>
    </row>
    <row r="217">
      <c r="Q217">
        <f>IF(AND(ISNUMBER(O217),ISNUMBER(P217),O217&gt;0),ROUND((O217-P217)/O217*100,1),"")</f>
        <v/>
      </c>
    </row>
    <row r="218">
      <c r="Q218">
        <f>IF(AND(ISNUMBER(O218),ISNUMBER(P218),O218&gt;0),ROUND((O218-P218)/O218*100,1),"")</f>
        <v/>
      </c>
    </row>
    <row r="219">
      <c r="Q219">
        <f>IF(AND(ISNUMBER(O219),ISNUMBER(P219),O219&gt;0),ROUND((O219-P219)/O219*100,1),"")</f>
        <v/>
      </c>
    </row>
    <row r="220">
      <c r="Q220">
        <f>IF(AND(ISNUMBER(O220),ISNUMBER(P220),O220&gt;0),ROUND((O220-P220)/O220*100,1),"")</f>
        <v/>
      </c>
    </row>
    <row r="221">
      <c r="Q221">
        <f>IF(AND(ISNUMBER(O221),ISNUMBER(P221),O221&gt;0),ROUND((O221-P221)/O221*100,1),"")</f>
        <v/>
      </c>
    </row>
    <row r="222">
      <c r="Q222">
        <f>IF(AND(ISNUMBER(O222),ISNUMBER(P222),O222&gt;0),ROUND((O222-P222)/O222*100,1),"")</f>
        <v/>
      </c>
    </row>
    <row r="223">
      <c r="Q223">
        <f>IF(AND(ISNUMBER(O223),ISNUMBER(P223),O223&gt;0),ROUND((O223-P223)/O223*100,1),"")</f>
        <v/>
      </c>
    </row>
    <row r="224">
      <c r="Q224">
        <f>IF(AND(ISNUMBER(O224),ISNUMBER(P224),O224&gt;0),ROUND((O224-P224)/O224*100,1),"")</f>
        <v/>
      </c>
    </row>
    <row r="225">
      <c r="Q225">
        <f>IF(AND(ISNUMBER(O225),ISNUMBER(P225),O225&gt;0),ROUND((O225-P225)/O225*100,1),"")</f>
        <v/>
      </c>
    </row>
    <row r="226">
      <c r="Q226">
        <f>IF(AND(ISNUMBER(O226),ISNUMBER(P226),O226&gt;0),ROUND((O226-P226)/O226*100,1),"")</f>
        <v/>
      </c>
    </row>
    <row r="227">
      <c r="Q227">
        <f>IF(AND(ISNUMBER(O227),ISNUMBER(P227),O227&gt;0),ROUND((O227-P227)/O227*100,1),"")</f>
        <v/>
      </c>
    </row>
    <row r="228">
      <c r="Q228">
        <f>IF(AND(ISNUMBER(O228),ISNUMBER(P228),O228&gt;0),ROUND((O228-P228)/O228*100,1),"")</f>
        <v/>
      </c>
    </row>
    <row r="229">
      <c r="Q229">
        <f>IF(AND(ISNUMBER(O229),ISNUMBER(P229),O229&gt;0),ROUND((O229-P229)/O229*100,1),"")</f>
        <v/>
      </c>
    </row>
    <row r="230">
      <c r="Q230">
        <f>IF(AND(ISNUMBER(O230),ISNUMBER(P230),O230&gt;0),ROUND((O230-P230)/O230*100,1),"")</f>
        <v/>
      </c>
    </row>
    <row r="231">
      <c r="Q231">
        <f>IF(AND(ISNUMBER(O231),ISNUMBER(P231),O231&gt;0),ROUND((O231-P231)/O231*100,1),"")</f>
        <v/>
      </c>
    </row>
    <row r="232">
      <c r="Q232">
        <f>IF(AND(ISNUMBER(O232),ISNUMBER(P232),O232&gt;0),ROUND((O232-P232)/O232*100,1),"")</f>
        <v/>
      </c>
    </row>
    <row r="233">
      <c r="Q233">
        <f>IF(AND(ISNUMBER(O233),ISNUMBER(P233),O233&gt;0),ROUND((O233-P233)/O233*100,1),"")</f>
        <v/>
      </c>
    </row>
    <row r="234">
      <c r="Q234">
        <f>IF(AND(ISNUMBER(O234),ISNUMBER(P234),O234&gt;0),ROUND((O234-P234)/O234*100,1),"")</f>
        <v/>
      </c>
    </row>
    <row r="235">
      <c r="Q235">
        <f>IF(AND(ISNUMBER(O235),ISNUMBER(P235),O235&gt;0),ROUND((O235-P235)/O235*100,1),"")</f>
        <v/>
      </c>
    </row>
    <row r="236">
      <c r="Q236">
        <f>IF(AND(ISNUMBER(O236),ISNUMBER(P236),O236&gt;0),ROUND((O236-P236)/O236*100,1),"")</f>
        <v/>
      </c>
    </row>
    <row r="237">
      <c r="Q237">
        <f>IF(AND(ISNUMBER(O237),ISNUMBER(P237),O237&gt;0),ROUND((O237-P237)/O237*100,1),"")</f>
        <v/>
      </c>
    </row>
    <row r="238">
      <c r="Q238">
        <f>IF(AND(ISNUMBER(O238),ISNUMBER(P238),O238&gt;0),ROUND((O238-P238)/O238*100,1),"")</f>
        <v/>
      </c>
    </row>
    <row r="239">
      <c r="Q239">
        <f>IF(AND(ISNUMBER(O239),ISNUMBER(P239),O239&gt;0),ROUND((O239-P239)/O239*100,1),"")</f>
        <v/>
      </c>
    </row>
    <row r="240">
      <c r="Q240">
        <f>IF(AND(ISNUMBER(O240),ISNUMBER(P240),O240&gt;0),ROUND((O240-P240)/O240*100,1),"")</f>
        <v/>
      </c>
    </row>
    <row r="241">
      <c r="Q241">
        <f>IF(AND(ISNUMBER(O241),ISNUMBER(P241),O241&gt;0),ROUND((O241-P241)/O241*100,1),"")</f>
        <v/>
      </c>
    </row>
    <row r="242">
      <c r="Q242">
        <f>IF(AND(ISNUMBER(O242),ISNUMBER(P242),O242&gt;0),ROUND((O242-P242)/O242*100,1),"")</f>
        <v/>
      </c>
    </row>
    <row r="243">
      <c r="Q243">
        <f>IF(AND(ISNUMBER(O243),ISNUMBER(P243),O243&gt;0),ROUND((O243-P243)/O243*100,1),"")</f>
        <v/>
      </c>
    </row>
    <row r="244">
      <c r="Q244">
        <f>IF(AND(ISNUMBER(O244),ISNUMBER(P244),O244&gt;0),ROUND((O244-P244)/O244*100,1),"")</f>
        <v/>
      </c>
    </row>
    <row r="245">
      <c r="Q245">
        <f>IF(AND(ISNUMBER(O245),ISNUMBER(P245),O245&gt;0),ROUND((O245-P245)/O245*100,1),"")</f>
        <v/>
      </c>
    </row>
    <row r="246">
      <c r="Q246">
        <f>IF(AND(ISNUMBER(O246),ISNUMBER(P246),O246&gt;0),ROUND((O246-P246)/O246*100,1),"")</f>
        <v/>
      </c>
    </row>
    <row r="247">
      <c r="Q247">
        <f>IF(AND(ISNUMBER(O247),ISNUMBER(P247),O247&gt;0),ROUND((O247-P247)/O247*100,1),"")</f>
        <v/>
      </c>
    </row>
    <row r="248">
      <c r="Q248">
        <f>IF(AND(ISNUMBER(O248),ISNUMBER(P248),O248&gt;0),ROUND((O248-P248)/O248*100,1),"")</f>
        <v/>
      </c>
    </row>
    <row r="249">
      <c r="Q249">
        <f>IF(AND(ISNUMBER(O249),ISNUMBER(P249),O249&gt;0),ROUND((O249-P249)/O249*100,1),"")</f>
        <v/>
      </c>
    </row>
    <row r="250">
      <c r="Q250">
        <f>IF(AND(ISNUMBER(O250),ISNUMBER(P250),O250&gt;0),ROUND((O250-P250)/O250*100,1),"")</f>
        <v/>
      </c>
    </row>
    <row r="251">
      <c r="Q251">
        <f>IF(AND(ISNUMBER(O251),ISNUMBER(P251),O251&gt;0),ROUND((O251-P251)/O251*100,1),"")</f>
        <v/>
      </c>
    </row>
    <row r="252">
      <c r="Q252">
        <f>IF(AND(ISNUMBER(O252),ISNUMBER(P252),O252&gt;0),ROUND((O252-P252)/O252*100,1),"")</f>
        <v/>
      </c>
    </row>
    <row r="253">
      <c r="Q253">
        <f>IF(AND(ISNUMBER(O253),ISNUMBER(P253),O253&gt;0),ROUND((O253-P253)/O253*100,1),"")</f>
        <v/>
      </c>
    </row>
    <row r="254">
      <c r="Q254">
        <f>IF(AND(ISNUMBER(O254),ISNUMBER(P254),O254&gt;0),ROUND((O254-P254)/O254*100,1),"")</f>
        <v/>
      </c>
    </row>
    <row r="255">
      <c r="Q255">
        <f>IF(AND(ISNUMBER(O255),ISNUMBER(P255),O255&gt;0),ROUND((O255-P255)/O255*100,1),"")</f>
        <v/>
      </c>
    </row>
    <row r="256">
      <c r="Q256">
        <f>IF(AND(ISNUMBER(O256),ISNUMBER(P256),O256&gt;0),ROUND((O256-P256)/O256*100,1),"")</f>
        <v/>
      </c>
    </row>
    <row r="257">
      <c r="Q257">
        <f>IF(AND(ISNUMBER(O257),ISNUMBER(P257),O257&gt;0),ROUND((O257-P257)/O257*100,1),"")</f>
        <v/>
      </c>
    </row>
    <row r="258">
      <c r="Q258">
        <f>IF(AND(ISNUMBER(O258),ISNUMBER(P258),O258&gt;0),ROUND((O258-P258)/O258*100,1),"")</f>
        <v/>
      </c>
    </row>
    <row r="259">
      <c r="Q259">
        <f>IF(AND(ISNUMBER(O259),ISNUMBER(P259),O259&gt;0),ROUND((O259-P259)/O259*100,1),"")</f>
        <v/>
      </c>
    </row>
    <row r="260">
      <c r="Q260">
        <f>IF(AND(ISNUMBER(O260),ISNUMBER(P260),O260&gt;0),ROUND((O260-P260)/O260*100,1),"")</f>
        <v/>
      </c>
    </row>
    <row r="261">
      <c r="Q261">
        <f>IF(AND(ISNUMBER(O261),ISNUMBER(P261),O261&gt;0),ROUND((O261-P261)/O261*100,1),"")</f>
        <v/>
      </c>
    </row>
    <row r="262">
      <c r="Q262">
        <f>IF(AND(ISNUMBER(O262),ISNUMBER(P262),O262&gt;0),ROUND((O262-P262)/O262*100,1),"")</f>
        <v/>
      </c>
    </row>
    <row r="263">
      <c r="Q263">
        <f>IF(AND(ISNUMBER(O263),ISNUMBER(P263),O263&gt;0),ROUND((O263-P263)/O263*100,1),"")</f>
        <v/>
      </c>
    </row>
    <row r="264">
      <c r="Q264">
        <f>IF(AND(ISNUMBER(O264),ISNUMBER(P264),O264&gt;0),ROUND((O264-P264)/O264*100,1),"")</f>
        <v/>
      </c>
    </row>
    <row r="265">
      <c r="Q265">
        <f>IF(AND(ISNUMBER(O265),ISNUMBER(P265),O265&gt;0),ROUND((O265-P265)/O265*100,1),"")</f>
        <v/>
      </c>
    </row>
    <row r="266">
      <c r="Q266">
        <f>IF(AND(ISNUMBER(O266),ISNUMBER(P266),O266&gt;0),ROUND((O266-P266)/O266*100,1),"")</f>
        <v/>
      </c>
    </row>
    <row r="267">
      <c r="Q267">
        <f>IF(AND(ISNUMBER(O267),ISNUMBER(P267),O267&gt;0),ROUND((O267-P267)/O267*100,1),"")</f>
        <v/>
      </c>
    </row>
    <row r="268">
      <c r="Q268">
        <f>IF(AND(ISNUMBER(O268),ISNUMBER(P268),O268&gt;0),ROUND((O268-P268)/O268*100,1),"")</f>
        <v/>
      </c>
    </row>
    <row r="269">
      <c r="Q269">
        <f>IF(AND(ISNUMBER(O269),ISNUMBER(P269),O269&gt;0),ROUND((O269-P269)/O269*100,1),"")</f>
        <v/>
      </c>
    </row>
    <row r="270">
      <c r="Q270">
        <f>IF(AND(ISNUMBER(O270),ISNUMBER(P270),O270&gt;0),ROUND((O270-P270)/O270*100,1),"")</f>
        <v/>
      </c>
    </row>
    <row r="271">
      <c r="Q271">
        <f>IF(AND(ISNUMBER(O271),ISNUMBER(P271),O271&gt;0),ROUND((O271-P271)/O271*100,1),"")</f>
        <v/>
      </c>
    </row>
    <row r="272">
      <c r="Q272">
        <f>IF(AND(ISNUMBER(O272),ISNUMBER(P272),O272&gt;0),ROUND((O272-P272)/O272*100,1),"")</f>
        <v/>
      </c>
    </row>
    <row r="273">
      <c r="Q273">
        <f>IF(AND(ISNUMBER(O273),ISNUMBER(P273),O273&gt;0),ROUND((O273-P273)/O273*100,1),"")</f>
        <v/>
      </c>
    </row>
    <row r="274">
      <c r="Q274">
        <f>IF(AND(ISNUMBER(O274),ISNUMBER(P274),O274&gt;0),ROUND((O274-P274)/O274*100,1),"")</f>
        <v/>
      </c>
    </row>
    <row r="275">
      <c r="Q275">
        <f>IF(AND(ISNUMBER(O275),ISNUMBER(P275),O275&gt;0),ROUND((O275-P275)/O275*100,1),"")</f>
        <v/>
      </c>
    </row>
    <row r="276">
      <c r="Q276">
        <f>IF(AND(ISNUMBER(O276),ISNUMBER(P276),O276&gt;0),ROUND((O276-P276)/O276*100,1),"")</f>
        <v/>
      </c>
    </row>
    <row r="277">
      <c r="Q277">
        <f>IF(AND(ISNUMBER(O277),ISNUMBER(P277),O277&gt;0),ROUND((O277-P277)/O277*100,1),"")</f>
        <v/>
      </c>
    </row>
    <row r="278">
      <c r="Q278">
        <f>IF(AND(ISNUMBER(O278),ISNUMBER(P278),O278&gt;0),ROUND((O278-P278)/O278*100,1),"")</f>
        <v/>
      </c>
    </row>
    <row r="279">
      <c r="Q279">
        <f>IF(AND(ISNUMBER(O279),ISNUMBER(P279),O279&gt;0),ROUND((O279-P279)/O279*100,1),"")</f>
        <v/>
      </c>
    </row>
    <row r="280">
      <c r="Q280">
        <f>IF(AND(ISNUMBER(O280),ISNUMBER(P280),O280&gt;0),ROUND((O280-P280)/O280*100,1),"")</f>
        <v/>
      </c>
    </row>
    <row r="281">
      <c r="Q281">
        <f>IF(AND(ISNUMBER(O281),ISNUMBER(P281),O281&gt;0),ROUND((O281-P281)/O281*100,1),"")</f>
        <v/>
      </c>
    </row>
    <row r="282">
      <c r="Q282">
        <f>IF(AND(ISNUMBER(O282),ISNUMBER(P282),O282&gt;0),ROUND((O282-P282)/O282*100,1),"")</f>
        <v/>
      </c>
    </row>
    <row r="283">
      <c r="Q283">
        <f>IF(AND(ISNUMBER(O283),ISNUMBER(P283),O283&gt;0),ROUND((O283-P283)/O283*100,1),"")</f>
        <v/>
      </c>
    </row>
    <row r="284">
      <c r="Q284">
        <f>IF(AND(ISNUMBER(O284),ISNUMBER(P284),O284&gt;0),ROUND((O284-P284)/O284*100,1),"")</f>
        <v/>
      </c>
    </row>
    <row r="285">
      <c r="Q285">
        <f>IF(AND(ISNUMBER(O285),ISNUMBER(P285),O285&gt;0),ROUND((O285-P285)/O285*100,1),"")</f>
        <v/>
      </c>
    </row>
    <row r="286">
      <c r="Q286">
        <f>IF(AND(ISNUMBER(O286),ISNUMBER(P286),O286&gt;0),ROUND((O286-P286)/O286*100,1),"")</f>
        <v/>
      </c>
    </row>
    <row r="287">
      <c r="Q287">
        <f>IF(AND(ISNUMBER(O287),ISNUMBER(P287),O287&gt;0),ROUND((O287-P287)/O287*100,1),"")</f>
        <v/>
      </c>
    </row>
    <row r="288">
      <c r="Q288">
        <f>IF(AND(ISNUMBER(O288),ISNUMBER(P288),O288&gt;0),ROUND((O288-P288)/O288*100,1),"")</f>
        <v/>
      </c>
    </row>
    <row r="289">
      <c r="Q289">
        <f>IF(AND(ISNUMBER(O289),ISNUMBER(P289),O289&gt;0),ROUND((O289-P289)/O289*100,1),"")</f>
        <v/>
      </c>
    </row>
    <row r="290">
      <c r="Q290">
        <f>IF(AND(ISNUMBER(O290),ISNUMBER(P290),O290&gt;0),ROUND((O290-P290)/O290*100,1),"")</f>
        <v/>
      </c>
    </row>
    <row r="291">
      <c r="Q291">
        <f>IF(AND(ISNUMBER(O291),ISNUMBER(P291),O291&gt;0),ROUND((O291-P291)/O291*100,1),"")</f>
        <v/>
      </c>
    </row>
    <row r="292">
      <c r="Q292">
        <f>IF(AND(ISNUMBER(O292),ISNUMBER(P292),O292&gt;0),ROUND((O292-P292)/O292*100,1),"")</f>
        <v/>
      </c>
    </row>
    <row r="293">
      <c r="Q293">
        <f>IF(AND(ISNUMBER(O293),ISNUMBER(P293),O293&gt;0),ROUND((O293-P293)/O293*100,1),"")</f>
        <v/>
      </c>
    </row>
    <row r="294">
      <c r="Q294">
        <f>IF(AND(ISNUMBER(O294),ISNUMBER(P294),O294&gt;0),ROUND((O294-P294)/O294*100,1),"")</f>
        <v/>
      </c>
    </row>
    <row r="295">
      <c r="Q295">
        <f>IF(AND(ISNUMBER(O295),ISNUMBER(P295),O295&gt;0),ROUND((O295-P295)/O295*100,1),"")</f>
        <v/>
      </c>
    </row>
    <row r="296">
      <c r="Q296">
        <f>IF(AND(ISNUMBER(O296),ISNUMBER(P296),O296&gt;0),ROUND((O296-P296)/O296*100,1),"")</f>
        <v/>
      </c>
    </row>
    <row r="297">
      <c r="Q297">
        <f>IF(AND(ISNUMBER(O297),ISNUMBER(P297),O297&gt;0),ROUND((O297-P297)/O297*100,1),"")</f>
        <v/>
      </c>
    </row>
    <row r="298">
      <c r="Q298">
        <f>IF(AND(ISNUMBER(O298),ISNUMBER(P298),O298&gt;0),ROUND((O298-P298)/O298*100,1),"")</f>
        <v/>
      </c>
    </row>
    <row r="299">
      <c r="Q299">
        <f>IF(AND(ISNUMBER(O299),ISNUMBER(P299),O299&gt;0),ROUND((O299-P299)/O299*100,1),"")</f>
        <v/>
      </c>
    </row>
    <row r="300">
      <c r="Q300">
        <f>IF(AND(ISNUMBER(O300),ISNUMBER(P300),O300&gt;0),ROUND((O300-P300)/O300*100,1),"")</f>
        <v/>
      </c>
    </row>
    <row r="301">
      <c r="Q301">
        <f>IF(AND(ISNUMBER(O301),ISNUMBER(P301),O301&gt;0),ROUND((O301-P301)/O301*100,1),"")</f>
        <v/>
      </c>
    </row>
    <row r="302">
      <c r="Q302">
        <f>IF(AND(ISNUMBER(O302),ISNUMBER(P302),O302&gt;0),ROUND((O302-P302)/O302*100,1),"")</f>
        <v/>
      </c>
    </row>
    <row r="303">
      <c r="Q303">
        <f>IF(AND(ISNUMBER(O303),ISNUMBER(P303),O303&gt;0),ROUND((O303-P303)/O303*100,1),"")</f>
        <v/>
      </c>
    </row>
    <row r="304">
      <c r="Q304">
        <f>IF(AND(ISNUMBER(O304),ISNUMBER(P304),O304&gt;0),ROUND((O304-P304)/O304*100,1),"")</f>
        <v/>
      </c>
    </row>
    <row r="305">
      <c r="Q305">
        <f>IF(AND(ISNUMBER(O305),ISNUMBER(P305),O305&gt;0),ROUND((O305-P305)/O305*100,1),"")</f>
        <v/>
      </c>
    </row>
    <row r="306">
      <c r="Q306">
        <f>IF(AND(ISNUMBER(O306),ISNUMBER(P306),O306&gt;0),ROUND((O306-P306)/O306*100,1),"")</f>
        <v/>
      </c>
    </row>
    <row r="307">
      <c r="Q307">
        <f>IF(AND(ISNUMBER(O307),ISNUMBER(P307),O307&gt;0),ROUND((O307-P307)/O307*100,1),"")</f>
        <v/>
      </c>
    </row>
    <row r="308">
      <c r="Q308">
        <f>IF(AND(ISNUMBER(O308),ISNUMBER(P308),O308&gt;0),ROUND((O308-P308)/O308*100,1),"")</f>
        <v/>
      </c>
    </row>
    <row r="309">
      <c r="Q309">
        <f>IF(AND(ISNUMBER(O309),ISNUMBER(P309),O309&gt;0),ROUND((O309-P309)/O309*100,1),"")</f>
        <v/>
      </c>
    </row>
    <row r="310">
      <c r="Q310">
        <f>IF(AND(ISNUMBER(O310),ISNUMBER(P310),O310&gt;0),ROUND((O310-P310)/O310*100,1),"")</f>
        <v/>
      </c>
    </row>
    <row r="311">
      <c r="Q311">
        <f>IF(AND(ISNUMBER(O311),ISNUMBER(P311),O311&gt;0),ROUND((O311-P311)/O311*100,1),"")</f>
        <v/>
      </c>
    </row>
    <row r="312">
      <c r="Q312">
        <f>IF(AND(ISNUMBER(O312),ISNUMBER(P312),O312&gt;0),ROUND((O312-P312)/O312*100,1),"")</f>
        <v/>
      </c>
    </row>
    <row r="313">
      <c r="Q313">
        <f>IF(AND(ISNUMBER(O313),ISNUMBER(P313),O313&gt;0),ROUND((O313-P313)/O313*100,1),"")</f>
        <v/>
      </c>
    </row>
    <row r="314">
      <c r="Q314">
        <f>IF(AND(ISNUMBER(O314),ISNUMBER(P314),O314&gt;0),ROUND((O314-P314)/O314*100,1),"")</f>
        <v/>
      </c>
    </row>
    <row r="315">
      <c r="Q315">
        <f>IF(AND(ISNUMBER(O315),ISNUMBER(P315),O315&gt;0),ROUND((O315-P315)/O315*100,1),"")</f>
        <v/>
      </c>
    </row>
    <row r="316">
      <c r="Q316">
        <f>IF(AND(ISNUMBER(O316),ISNUMBER(P316),O316&gt;0),ROUND((O316-P316)/O316*100,1),"")</f>
        <v/>
      </c>
    </row>
    <row r="317">
      <c r="Q317">
        <f>IF(AND(ISNUMBER(O317),ISNUMBER(P317),O317&gt;0),ROUND((O317-P317)/O317*100,1),"")</f>
        <v/>
      </c>
    </row>
    <row r="318">
      <c r="Q318">
        <f>IF(AND(ISNUMBER(O318),ISNUMBER(P318),O318&gt;0),ROUND((O318-P318)/O318*100,1),"")</f>
        <v/>
      </c>
    </row>
    <row r="319">
      <c r="Q319">
        <f>IF(AND(ISNUMBER(O319),ISNUMBER(P319),O319&gt;0),ROUND((O319-P319)/O319*100,1),"")</f>
        <v/>
      </c>
    </row>
    <row r="320">
      <c r="Q320">
        <f>IF(AND(ISNUMBER(O320),ISNUMBER(P320),O320&gt;0),ROUND((O320-P320)/O320*100,1),"")</f>
        <v/>
      </c>
    </row>
    <row r="321">
      <c r="Q321">
        <f>IF(AND(ISNUMBER(O321),ISNUMBER(P321),O321&gt;0),ROUND((O321-P321)/O321*100,1),"")</f>
        <v/>
      </c>
    </row>
    <row r="322">
      <c r="Q322">
        <f>IF(AND(ISNUMBER(O322),ISNUMBER(P322),O322&gt;0),ROUND((O322-P322)/O322*100,1),"")</f>
        <v/>
      </c>
    </row>
    <row r="323">
      <c r="Q323">
        <f>IF(AND(ISNUMBER(O323),ISNUMBER(P323),O323&gt;0),ROUND((O323-P323)/O323*100,1),"")</f>
        <v/>
      </c>
    </row>
    <row r="324">
      <c r="Q324">
        <f>IF(AND(ISNUMBER(O324),ISNUMBER(P324),O324&gt;0),ROUND((O324-P324)/O324*100,1),"")</f>
        <v/>
      </c>
    </row>
    <row r="325">
      <c r="Q325">
        <f>IF(AND(ISNUMBER(O325),ISNUMBER(P325),O325&gt;0),ROUND((O325-P325)/O325*100,1),"")</f>
        <v/>
      </c>
    </row>
    <row r="326">
      <c r="Q326">
        <f>IF(AND(ISNUMBER(O326),ISNUMBER(P326),O326&gt;0),ROUND((O326-P326)/O326*100,1),"")</f>
        <v/>
      </c>
    </row>
    <row r="327">
      <c r="Q327">
        <f>IF(AND(ISNUMBER(O327),ISNUMBER(P327),O327&gt;0),ROUND((O327-P327)/O327*100,1),"")</f>
        <v/>
      </c>
    </row>
    <row r="328">
      <c r="Q328">
        <f>IF(AND(ISNUMBER(O328),ISNUMBER(P328),O328&gt;0),ROUND((O328-P328)/O328*100,1),"")</f>
        <v/>
      </c>
    </row>
    <row r="329">
      <c r="Q329">
        <f>IF(AND(ISNUMBER(O329),ISNUMBER(P329),O329&gt;0),ROUND((O329-P329)/O329*100,1),"")</f>
        <v/>
      </c>
    </row>
    <row r="330">
      <c r="Q330">
        <f>IF(AND(ISNUMBER(O330),ISNUMBER(P330),O330&gt;0),ROUND((O330-P330)/O330*100,1),"")</f>
        <v/>
      </c>
    </row>
    <row r="331">
      <c r="Q331">
        <f>IF(AND(ISNUMBER(O331),ISNUMBER(P331),O331&gt;0),ROUND((O331-P331)/O331*100,1),"")</f>
        <v/>
      </c>
    </row>
    <row r="332">
      <c r="Q332">
        <f>IF(AND(ISNUMBER(O332),ISNUMBER(P332),O332&gt;0),ROUND((O332-P332)/O332*100,1),"")</f>
        <v/>
      </c>
    </row>
    <row r="333">
      <c r="Q333">
        <f>IF(AND(ISNUMBER(O333),ISNUMBER(P333),O333&gt;0),ROUND((O333-P333)/O333*100,1),"")</f>
        <v/>
      </c>
    </row>
    <row r="334">
      <c r="Q334">
        <f>IF(AND(ISNUMBER(O334),ISNUMBER(P334),O334&gt;0),ROUND((O334-P334)/O334*100,1),"")</f>
        <v/>
      </c>
    </row>
    <row r="335">
      <c r="Q335">
        <f>IF(AND(ISNUMBER(O335),ISNUMBER(P335),O335&gt;0),ROUND((O335-P335)/O335*100,1),"")</f>
        <v/>
      </c>
    </row>
    <row r="336">
      <c r="Q336">
        <f>IF(AND(ISNUMBER(O336),ISNUMBER(P336),O336&gt;0),ROUND((O336-P336)/O336*100,1),"")</f>
        <v/>
      </c>
    </row>
    <row r="337">
      <c r="Q337">
        <f>IF(AND(ISNUMBER(O337),ISNUMBER(P337),O337&gt;0),ROUND((O337-P337)/O337*100,1),"")</f>
        <v/>
      </c>
    </row>
    <row r="338">
      <c r="Q338">
        <f>IF(AND(ISNUMBER(O338),ISNUMBER(P338),O338&gt;0),ROUND((O338-P338)/O338*100,1),"")</f>
        <v/>
      </c>
    </row>
    <row r="339">
      <c r="Q339">
        <f>IF(AND(ISNUMBER(O339),ISNUMBER(P339),O339&gt;0),ROUND((O339-P339)/O339*100,1),"")</f>
        <v/>
      </c>
    </row>
    <row r="340">
      <c r="Q340">
        <f>IF(AND(ISNUMBER(O340),ISNUMBER(P340),O340&gt;0),ROUND((O340-P340)/O340*100,1),"")</f>
        <v/>
      </c>
    </row>
    <row r="341">
      <c r="Q341">
        <f>IF(AND(ISNUMBER(O341),ISNUMBER(P341),O341&gt;0),ROUND((O341-P341)/O341*100,1),"")</f>
        <v/>
      </c>
    </row>
    <row r="342">
      <c r="Q342">
        <f>IF(AND(ISNUMBER(O342),ISNUMBER(P342),O342&gt;0),ROUND((O342-P342)/O342*100,1),"")</f>
        <v/>
      </c>
    </row>
    <row r="343">
      <c r="Q343">
        <f>IF(AND(ISNUMBER(O343),ISNUMBER(P343),O343&gt;0),ROUND((O343-P343)/O343*100,1),"")</f>
        <v/>
      </c>
    </row>
    <row r="344">
      <c r="Q344">
        <f>IF(AND(ISNUMBER(O344),ISNUMBER(P344),O344&gt;0),ROUND((O344-P344)/O344*100,1),"")</f>
        <v/>
      </c>
    </row>
    <row r="345">
      <c r="Q345">
        <f>IF(AND(ISNUMBER(O345),ISNUMBER(P345),O345&gt;0),ROUND((O345-P345)/O345*100,1),"")</f>
        <v/>
      </c>
    </row>
    <row r="346">
      <c r="Q346">
        <f>IF(AND(ISNUMBER(O346),ISNUMBER(P346),O346&gt;0),ROUND((O346-P346)/O346*100,1),"")</f>
        <v/>
      </c>
    </row>
    <row r="347">
      <c r="Q347">
        <f>IF(AND(ISNUMBER(O347),ISNUMBER(P347),O347&gt;0),ROUND((O347-P347)/O347*100,1),"")</f>
        <v/>
      </c>
    </row>
    <row r="348">
      <c r="Q348">
        <f>IF(AND(ISNUMBER(O348),ISNUMBER(P348),O348&gt;0),ROUND((O348-P348)/O348*100,1),"")</f>
        <v/>
      </c>
    </row>
    <row r="349">
      <c r="Q349">
        <f>IF(AND(ISNUMBER(O349),ISNUMBER(P349),O349&gt;0),ROUND((O349-P349)/O349*100,1),"")</f>
        <v/>
      </c>
    </row>
    <row r="350">
      <c r="Q350">
        <f>IF(AND(ISNUMBER(O350),ISNUMBER(P350),O350&gt;0),ROUND((O350-P350)/O350*100,1),"")</f>
        <v/>
      </c>
    </row>
    <row r="351">
      <c r="Q351">
        <f>IF(AND(ISNUMBER(O351),ISNUMBER(P351),O351&gt;0),ROUND((O351-P351)/O351*100,1),"")</f>
        <v/>
      </c>
    </row>
    <row r="352">
      <c r="Q352">
        <f>IF(AND(ISNUMBER(O352),ISNUMBER(P352),O352&gt;0),ROUND((O352-P352)/O352*100,1),"")</f>
        <v/>
      </c>
    </row>
    <row r="353">
      <c r="Q353">
        <f>IF(AND(ISNUMBER(O353),ISNUMBER(P353),O353&gt;0),ROUND((O353-P353)/O353*100,1),"")</f>
        <v/>
      </c>
    </row>
    <row r="354">
      <c r="Q354">
        <f>IF(AND(ISNUMBER(O354),ISNUMBER(P354),O354&gt;0),ROUND((O354-P354)/O354*100,1),"")</f>
        <v/>
      </c>
    </row>
    <row r="355">
      <c r="Q355">
        <f>IF(AND(ISNUMBER(O355),ISNUMBER(P355),O355&gt;0),ROUND((O355-P355)/O355*100,1),"")</f>
        <v/>
      </c>
    </row>
    <row r="356">
      <c r="Q356">
        <f>IF(AND(ISNUMBER(O356),ISNUMBER(P356),O356&gt;0),ROUND((O356-P356)/O356*100,1),"")</f>
        <v/>
      </c>
    </row>
    <row r="357">
      <c r="Q357">
        <f>IF(AND(ISNUMBER(O357),ISNUMBER(P357),O357&gt;0),ROUND((O357-P357)/O357*100,1),"")</f>
        <v/>
      </c>
    </row>
    <row r="358">
      <c r="Q358">
        <f>IF(AND(ISNUMBER(O358),ISNUMBER(P358),O358&gt;0),ROUND((O358-P358)/O358*100,1),"")</f>
        <v/>
      </c>
    </row>
    <row r="359">
      <c r="Q359">
        <f>IF(AND(ISNUMBER(O359),ISNUMBER(P359),O359&gt;0),ROUND((O359-P359)/O359*100,1),"")</f>
        <v/>
      </c>
    </row>
    <row r="360">
      <c r="Q360">
        <f>IF(AND(ISNUMBER(O360),ISNUMBER(P360),O360&gt;0),ROUND((O360-P360)/O360*100,1),"")</f>
        <v/>
      </c>
    </row>
    <row r="361">
      <c r="Q361">
        <f>IF(AND(ISNUMBER(O361),ISNUMBER(P361),O361&gt;0),ROUND((O361-P361)/O361*100,1),"")</f>
        <v/>
      </c>
    </row>
    <row r="362">
      <c r="Q362">
        <f>IF(AND(ISNUMBER(O362),ISNUMBER(P362),O362&gt;0),ROUND((O362-P362)/O362*100,1),"")</f>
        <v/>
      </c>
    </row>
    <row r="363">
      <c r="Q363">
        <f>IF(AND(ISNUMBER(O363),ISNUMBER(P363),O363&gt;0),ROUND((O363-P363)/O363*100,1),"")</f>
        <v/>
      </c>
    </row>
    <row r="364">
      <c r="Q364">
        <f>IF(AND(ISNUMBER(O364),ISNUMBER(P364),O364&gt;0),ROUND((O364-P364)/O364*100,1),"")</f>
        <v/>
      </c>
    </row>
    <row r="365">
      <c r="Q365">
        <f>IF(AND(ISNUMBER(O365),ISNUMBER(P365),O365&gt;0),ROUND((O365-P365)/O365*100,1),"")</f>
        <v/>
      </c>
    </row>
    <row r="366">
      <c r="Q366">
        <f>IF(AND(ISNUMBER(O366),ISNUMBER(P366),O366&gt;0),ROUND((O366-P366)/O366*100,1),"")</f>
        <v/>
      </c>
    </row>
    <row r="367">
      <c r="Q367">
        <f>IF(AND(ISNUMBER(O367),ISNUMBER(P367),O367&gt;0),ROUND((O367-P367)/O367*100,1),"")</f>
        <v/>
      </c>
    </row>
    <row r="368">
      <c r="Q368">
        <f>IF(AND(ISNUMBER(O368),ISNUMBER(P368),O368&gt;0),ROUND((O368-P368)/O368*100,1),"")</f>
        <v/>
      </c>
    </row>
    <row r="369">
      <c r="Q369">
        <f>IF(AND(ISNUMBER(O369),ISNUMBER(P369),O369&gt;0),ROUND((O369-P369)/O369*100,1),"")</f>
        <v/>
      </c>
    </row>
    <row r="370">
      <c r="Q370">
        <f>IF(AND(ISNUMBER(O370),ISNUMBER(P370),O370&gt;0),ROUND((O370-P370)/O370*100,1),"")</f>
        <v/>
      </c>
    </row>
    <row r="371">
      <c r="Q371">
        <f>IF(AND(ISNUMBER(O371),ISNUMBER(P371),O371&gt;0),ROUND((O371-P371)/O371*100,1),"")</f>
        <v/>
      </c>
    </row>
    <row r="372">
      <c r="Q372">
        <f>IF(AND(ISNUMBER(O372),ISNUMBER(P372),O372&gt;0),ROUND((O372-P372)/O372*100,1),"")</f>
        <v/>
      </c>
    </row>
    <row r="373">
      <c r="Q373">
        <f>IF(AND(ISNUMBER(O373),ISNUMBER(P373),O373&gt;0),ROUND((O373-P373)/O373*100,1),"")</f>
        <v/>
      </c>
    </row>
    <row r="374">
      <c r="Q374">
        <f>IF(AND(ISNUMBER(O374),ISNUMBER(P374),O374&gt;0),ROUND((O374-P374)/O374*100,1),"")</f>
        <v/>
      </c>
    </row>
    <row r="375">
      <c r="Q375">
        <f>IF(AND(ISNUMBER(O375),ISNUMBER(P375),O375&gt;0),ROUND((O375-P375)/O375*100,1),"")</f>
        <v/>
      </c>
    </row>
    <row r="376">
      <c r="Q376">
        <f>IF(AND(ISNUMBER(O376),ISNUMBER(P376),O376&gt;0),ROUND((O376-P376)/O376*100,1),"")</f>
        <v/>
      </c>
    </row>
    <row r="377">
      <c r="Q377">
        <f>IF(AND(ISNUMBER(O377),ISNUMBER(P377),O377&gt;0),ROUND((O377-P377)/O377*100,1),"")</f>
        <v/>
      </c>
    </row>
    <row r="378">
      <c r="Q378">
        <f>IF(AND(ISNUMBER(O378),ISNUMBER(P378),O378&gt;0),ROUND((O378-P378)/O378*100,1),"")</f>
        <v/>
      </c>
    </row>
    <row r="379">
      <c r="Q379">
        <f>IF(AND(ISNUMBER(O379),ISNUMBER(P379),O379&gt;0),ROUND((O379-P379)/O379*100,1),"")</f>
        <v/>
      </c>
    </row>
    <row r="380">
      <c r="Q380">
        <f>IF(AND(ISNUMBER(O380),ISNUMBER(P380),O380&gt;0),ROUND((O380-P380)/O380*100,1),"")</f>
        <v/>
      </c>
    </row>
    <row r="381">
      <c r="Q381">
        <f>IF(AND(ISNUMBER(O381),ISNUMBER(P381),O381&gt;0),ROUND((O381-P381)/O381*100,1),"")</f>
        <v/>
      </c>
    </row>
    <row r="382">
      <c r="Q382">
        <f>IF(AND(ISNUMBER(O382),ISNUMBER(P382),O382&gt;0),ROUND((O382-P382)/O382*100,1),"")</f>
        <v/>
      </c>
    </row>
    <row r="383">
      <c r="Q383">
        <f>IF(AND(ISNUMBER(O383),ISNUMBER(P383),O383&gt;0),ROUND((O383-P383)/O383*100,1),"")</f>
        <v/>
      </c>
    </row>
    <row r="384">
      <c r="Q384">
        <f>IF(AND(ISNUMBER(O384),ISNUMBER(P384),O384&gt;0),ROUND((O384-P384)/O384*100,1),"")</f>
        <v/>
      </c>
    </row>
    <row r="385">
      <c r="Q385">
        <f>IF(AND(ISNUMBER(O385),ISNUMBER(P385),O385&gt;0),ROUND((O385-P385)/O385*100,1),"")</f>
        <v/>
      </c>
    </row>
    <row r="386">
      <c r="Q386">
        <f>IF(AND(ISNUMBER(O386),ISNUMBER(P386),O386&gt;0),ROUND((O386-P386)/O386*100,1),"")</f>
        <v/>
      </c>
    </row>
    <row r="387">
      <c r="Q387">
        <f>IF(AND(ISNUMBER(O387),ISNUMBER(P387),O387&gt;0),ROUND((O387-P387)/O387*100,1),"")</f>
        <v/>
      </c>
    </row>
    <row r="388">
      <c r="Q388">
        <f>IF(AND(ISNUMBER(O388),ISNUMBER(P388),O388&gt;0),ROUND((O388-P388)/O388*100,1),"")</f>
        <v/>
      </c>
    </row>
    <row r="389">
      <c r="Q389">
        <f>IF(AND(ISNUMBER(O389),ISNUMBER(P389),O389&gt;0),ROUND((O389-P389)/O389*100,1),"")</f>
        <v/>
      </c>
    </row>
    <row r="390">
      <c r="Q390">
        <f>IF(AND(ISNUMBER(O390),ISNUMBER(P390),O390&gt;0),ROUND((O390-P390)/O390*100,1),"")</f>
        <v/>
      </c>
    </row>
    <row r="391">
      <c r="Q391">
        <f>IF(AND(ISNUMBER(O391),ISNUMBER(P391),O391&gt;0),ROUND((O391-P391)/O391*100,1),"")</f>
        <v/>
      </c>
    </row>
    <row r="392">
      <c r="Q392">
        <f>IF(AND(ISNUMBER(O392),ISNUMBER(P392),O392&gt;0),ROUND((O392-P392)/O392*100,1),"")</f>
        <v/>
      </c>
    </row>
    <row r="393">
      <c r="Q393">
        <f>IF(AND(ISNUMBER(O393),ISNUMBER(P393),O393&gt;0),ROUND((O393-P393)/O393*100,1),"")</f>
        <v/>
      </c>
    </row>
    <row r="394">
      <c r="Q394">
        <f>IF(AND(ISNUMBER(O394),ISNUMBER(P394),O394&gt;0),ROUND((O394-P394)/O394*100,1),"")</f>
        <v/>
      </c>
    </row>
    <row r="395">
      <c r="Q395">
        <f>IF(AND(ISNUMBER(O395),ISNUMBER(P395),O395&gt;0),ROUND((O395-P395)/O395*100,1),"")</f>
        <v/>
      </c>
    </row>
    <row r="396">
      <c r="Q396">
        <f>IF(AND(ISNUMBER(O396),ISNUMBER(P396),O396&gt;0),ROUND((O396-P396)/O396*100,1),"")</f>
        <v/>
      </c>
    </row>
    <row r="397">
      <c r="Q397">
        <f>IF(AND(ISNUMBER(O397),ISNUMBER(P397),O397&gt;0),ROUND((O397-P397)/O397*100,1),"")</f>
        <v/>
      </c>
    </row>
    <row r="398">
      <c r="Q398">
        <f>IF(AND(ISNUMBER(O398),ISNUMBER(P398),O398&gt;0),ROUND((O398-P398)/O398*100,1),"")</f>
        <v/>
      </c>
    </row>
    <row r="399">
      <c r="Q399">
        <f>IF(AND(ISNUMBER(O399),ISNUMBER(P399),O399&gt;0),ROUND((O399-P399)/O399*100,1),"")</f>
        <v/>
      </c>
    </row>
    <row r="400">
      <c r="Q400">
        <f>IF(AND(ISNUMBER(O400),ISNUMBER(P400),O400&gt;0),ROUND((O400-P400)/O400*100,1),"")</f>
        <v/>
      </c>
    </row>
    <row r="401">
      <c r="Q401">
        <f>IF(AND(ISNUMBER(O401),ISNUMBER(P401),O401&gt;0),ROUND((O401-P401)/O401*100,1),"")</f>
        <v/>
      </c>
    </row>
    <row r="402">
      <c r="Q402">
        <f>IF(AND(ISNUMBER(O402),ISNUMBER(P402),O402&gt;0),ROUND((O402-P402)/O402*100,1),"")</f>
        <v/>
      </c>
    </row>
    <row r="403">
      <c r="Q403">
        <f>IF(AND(ISNUMBER(O403),ISNUMBER(P403),O403&gt;0),ROUND((O403-P403)/O403*100,1),"")</f>
        <v/>
      </c>
    </row>
    <row r="404">
      <c r="Q404">
        <f>IF(AND(ISNUMBER(O404),ISNUMBER(P404),O404&gt;0),ROUND((O404-P404)/O404*100,1),"")</f>
        <v/>
      </c>
    </row>
    <row r="405">
      <c r="Q405">
        <f>IF(AND(ISNUMBER(O405),ISNUMBER(P405),O405&gt;0),ROUND((O405-P405)/O405*100,1),"")</f>
        <v/>
      </c>
    </row>
    <row r="406">
      <c r="Q406">
        <f>IF(AND(ISNUMBER(O406),ISNUMBER(P406),O406&gt;0),ROUND((O406-P406)/O406*100,1),"")</f>
        <v/>
      </c>
    </row>
    <row r="407">
      <c r="Q407">
        <f>IF(AND(ISNUMBER(O407),ISNUMBER(P407),O407&gt;0),ROUND((O407-P407)/O407*100,1),"")</f>
        <v/>
      </c>
    </row>
    <row r="408">
      <c r="Q408">
        <f>IF(AND(ISNUMBER(O408),ISNUMBER(P408),O408&gt;0),ROUND((O408-P408)/O408*100,1),"")</f>
        <v/>
      </c>
    </row>
    <row r="409">
      <c r="Q409">
        <f>IF(AND(ISNUMBER(O409),ISNUMBER(P409),O409&gt;0),ROUND((O409-P409)/O409*100,1),"")</f>
        <v/>
      </c>
    </row>
    <row r="410">
      <c r="Q410">
        <f>IF(AND(ISNUMBER(O410),ISNUMBER(P410),O410&gt;0),ROUND((O410-P410)/O410*100,1),"")</f>
        <v/>
      </c>
    </row>
    <row r="411">
      <c r="Q411">
        <f>IF(AND(ISNUMBER(O411),ISNUMBER(P411),O411&gt;0),ROUND((O411-P411)/O411*100,1),"")</f>
        <v/>
      </c>
    </row>
    <row r="412">
      <c r="Q412">
        <f>IF(AND(ISNUMBER(O412),ISNUMBER(P412),O412&gt;0),ROUND((O412-P412)/O412*100,1),"")</f>
        <v/>
      </c>
    </row>
    <row r="413">
      <c r="Q413">
        <f>IF(AND(ISNUMBER(O413),ISNUMBER(P413),O413&gt;0),ROUND((O413-P413)/O413*100,1),"")</f>
        <v/>
      </c>
    </row>
    <row r="414">
      <c r="Q414">
        <f>IF(AND(ISNUMBER(O414),ISNUMBER(P414),O414&gt;0),ROUND((O414-P414)/O414*100,1),"")</f>
        <v/>
      </c>
    </row>
    <row r="415">
      <c r="Q415">
        <f>IF(AND(ISNUMBER(O415),ISNUMBER(P415),O415&gt;0),ROUND((O415-P415)/O415*100,1),"")</f>
        <v/>
      </c>
    </row>
    <row r="416">
      <c r="Q416">
        <f>IF(AND(ISNUMBER(O416),ISNUMBER(P416),O416&gt;0),ROUND((O416-P416)/O416*100,1),"")</f>
        <v/>
      </c>
    </row>
    <row r="417">
      <c r="Q417">
        <f>IF(AND(ISNUMBER(O417),ISNUMBER(P417),O417&gt;0),ROUND((O417-P417)/O417*100,1),"")</f>
        <v/>
      </c>
    </row>
    <row r="418">
      <c r="Q418">
        <f>IF(AND(ISNUMBER(O418),ISNUMBER(P418),O418&gt;0),ROUND((O418-P418)/O418*100,1),"")</f>
        <v/>
      </c>
    </row>
    <row r="419">
      <c r="Q419">
        <f>IF(AND(ISNUMBER(O419),ISNUMBER(P419),O419&gt;0),ROUND((O419-P419)/O419*100,1),"")</f>
        <v/>
      </c>
    </row>
    <row r="420">
      <c r="Q420">
        <f>IF(AND(ISNUMBER(O420),ISNUMBER(P420),O420&gt;0),ROUND((O420-P420)/O420*100,1),"")</f>
        <v/>
      </c>
    </row>
    <row r="421">
      <c r="Q421">
        <f>IF(AND(ISNUMBER(O421),ISNUMBER(P421),O421&gt;0),ROUND((O421-P421)/O421*100,1),"")</f>
        <v/>
      </c>
    </row>
    <row r="422">
      <c r="Q422">
        <f>IF(AND(ISNUMBER(O422),ISNUMBER(P422),O422&gt;0),ROUND((O422-P422)/O422*100,1),"")</f>
        <v/>
      </c>
    </row>
    <row r="423">
      <c r="Q423">
        <f>IF(AND(ISNUMBER(O423),ISNUMBER(P423),O423&gt;0),ROUND((O423-P423)/O423*100,1),"")</f>
        <v/>
      </c>
    </row>
    <row r="424">
      <c r="Q424">
        <f>IF(AND(ISNUMBER(O424),ISNUMBER(P424),O424&gt;0),ROUND((O424-P424)/O424*100,1),"")</f>
        <v/>
      </c>
    </row>
    <row r="425">
      <c r="Q425">
        <f>IF(AND(ISNUMBER(O425),ISNUMBER(P425),O425&gt;0),ROUND((O425-P425)/O425*100,1),"")</f>
        <v/>
      </c>
    </row>
    <row r="426">
      <c r="Q426">
        <f>IF(AND(ISNUMBER(O426),ISNUMBER(P426),O426&gt;0),ROUND((O426-P426)/O426*100,1),"")</f>
        <v/>
      </c>
    </row>
    <row r="427">
      <c r="Q427">
        <f>IF(AND(ISNUMBER(O427),ISNUMBER(P427),O427&gt;0),ROUND((O427-P427)/O427*100,1),"")</f>
        <v/>
      </c>
    </row>
    <row r="428">
      <c r="Q428">
        <f>IF(AND(ISNUMBER(O428),ISNUMBER(P428),O428&gt;0),ROUND((O428-P428)/O428*100,1),"")</f>
        <v/>
      </c>
    </row>
    <row r="429">
      <c r="Q429">
        <f>IF(AND(ISNUMBER(O429),ISNUMBER(P429),O429&gt;0),ROUND((O429-P429)/O429*100,1),"")</f>
        <v/>
      </c>
    </row>
    <row r="430">
      <c r="Q430">
        <f>IF(AND(ISNUMBER(O430),ISNUMBER(P430),O430&gt;0),ROUND((O430-P430)/O430*100,1),"")</f>
        <v/>
      </c>
    </row>
    <row r="431">
      <c r="Q431">
        <f>IF(AND(ISNUMBER(O431),ISNUMBER(P431),O431&gt;0),ROUND((O431-P431)/O431*100,1),"")</f>
        <v/>
      </c>
    </row>
    <row r="432">
      <c r="Q432">
        <f>IF(AND(ISNUMBER(O432),ISNUMBER(P432),O432&gt;0),ROUND((O432-P432)/O432*100,1),"")</f>
        <v/>
      </c>
    </row>
    <row r="433">
      <c r="Q433">
        <f>IF(AND(ISNUMBER(O433),ISNUMBER(P433),O433&gt;0),ROUND((O433-P433)/O433*100,1),"")</f>
        <v/>
      </c>
    </row>
    <row r="434">
      <c r="Q434">
        <f>IF(AND(ISNUMBER(O434),ISNUMBER(P434),O434&gt;0),ROUND((O434-P434)/O434*100,1),"")</f>
        <v/>
      </c>
    </row>
    <row r="435">
      <c r="Q435">
        <f>IF(AND(ISNUMBER(O435),ISNUMBER(P435),O435&gt;0),ROUND((O435-P435)/O435*100,1),"")</f>
        <v/>
      </c>
    </row>
    <row r="436">
      <c r="Q436">
        <f>IF(AND(ISNUMBER(O436),ISNUMBER(P436),O436&gt;0),ROUND((O436-P436)/O436*100,1),"")</f>
        <v/>
      </c>
    </row>
    <row r="437">
      <c r="Q437">
        <f>IF(AND(ISNUMBER(O437),ISNUMBER(P437),O437&gt;0),ROUND((O437-P437)/O437*100,1),"")</f>
        <v/>
      </c>
    </row>
    <row r="438">
      <c r="Q438">
        <f>IF(AND(ISNUMBER(O438),ISNUMBER(P438),O438&gt;0),ROUND((O438-P438)/O438*100,1),"")</f>
        <v/>
      </c>
    </row>
    <row r="439">
      <c r="Q439">
        <f>IF(AND(ISNUMBER(O439),ISNUMBER(P439),O439&gt;0),ROUND((O439-P439)/O439*100,1),"")</f>
        <v/>
      </c>
    </row>
    <row r="440">
      <c r="Q440">
        <f>IF(AND(ISNUMBER(O440),ISNUMBER(P440),O440&gt;0),ROUND((O440-P440)/O440*100,1),"")</f>
        <v/>
      </c>
    </row>
    <row r="441">
      <c r="Q441">
        <f>IF(AND(ISNUMBER(O441),ISNUMBER(P441),O441&gt;0),ROUND((O441-P441)/O441*100,1),"")</f>
        <v/>
      </c>
    </row>
    <row r="442">
      <c r="Q442">
        <f>IF(AND(ISNUMBER(O442),ISNUMBER(P442),O442&gt;0),ROUND((O442-P442)/O442*100,1),"")</f>
        <v/>
      </c>
    </row>
    <row r="443">
      <c r="Q443">
        <f>IF(AND(ISNUMBER(O443),ISNUMBER(P443),O443&gt;0),ROUND((O443-P443)/O443*100,1),"")</f>
        <v/>
      </c>
    </row>
    <row r="444">
      <c r="Q444">
        <f>IF(AND(ISNUMBER(O444),ISNUMBER(P444),O444&gt;0),ROUND((O444-P444)/O444*100,1),"")</f>
        <v/>
      </c>
    </row>
    <row r="445">
      <c r="Q445">
        <f>IF(AND(ISNUMBER(O445),ISNUMBER(P445),O445&gt;0),ROUND((O445-P445)/O445*100,1),"")</f>
        <v/>
      </c>
    </row>
    <row r="446">
      <c r="Q446">
        <f>IF(AND(ISNUMBER(O446),ISNUMBER(P446),O446&gt;0),ROUND((O446-P446)/O446*100,1),"")</f>
        <v/>
      </c>
    </row>
    <row r="447">
      <c r="Q447">
        <f>IF(AND(ISNUMBER(O447),ISNUMBER(P447),O447&gt;0),ROUND((O447-P447)/O447*100,1),"")</f>
        <v/>
      </c>
    </row>
    <row r="448">
      <c r="Q448">
        <f>IF(AND(ISNUMBER(O448),ISNUMBER(P448),O448&gt;0),ROUND((O448-P448)/O448*100,1),"")</f>
        <v/>
      </c>
    </row>
    <row r="449">
      <c r="Q449">
        <f>IF(AND(ISNUMBER(O449),ISNUMBER(P449),O449&gt;0),ROUND((O449-P449)/O449*100,1),"")</f>
        <v/>
      </c>
    </row>
    <row r="450">
      <c r="Q450">
        <f>IF(AND(ISNUMBER(O450),ISNUMBER(P450),O450&gt;0),ROUND((O450-P450)/O450*100,1),"")</f>
        <v/>
      </c>
    </row>
    <row r="451">
      <c r="Q451">
        <f>IF(AND(ISNUMBER(O451),ISNUMBER(P451),O451&gt;0),ROUND((O451-P451)/O451*100,1),"")</f>
        <v/>
      </c>
    </row>
    <row r="452">
      <c r="Q452">
        <f>IF(AND(ISNUMBER(O452),ISNUMBER(P452),O452&gt;0),ROUND((O452-P452)/O452*100,1),"")</f>
        <v/>
      </c>
    </row>
    <row r="453">
      <c r="Q453">
        <f>IF(AND(ISNUMBER(O453),ISNUMBER(P453),O453&gt;0),ROUND((O453-P453)/O453*100,1),"")</f>
        <v/>
      </c>
    </row>
    <row r="454">
      <c r="Q454">
        <f>IF(AND(ISNUMBER(O454),ISNUMBER(P454),O454&gt;0),ROUND((O454-P454)/O454*100,1),"")</f>
        <v/>
      </c>
    </row>
    <row r="455">
      <c r="Q455">
        <f>IF(AND(ISNUMBER(O455),ISNUMBER(P455),O455&gt;0),ROUND((O455-P455)/O455*100,1),"")</f>
        <v/>
      </c>
    </row>
    <row r="456">
      <c r="Q456">
        <f>IF(AND(ISNUMBER(O456),ISNUMBER(P456),O456&gt;0),ROUND((O456-P456)/O456*100,1),"")</f>
        <v/>
      </c>
    </row>
    <row r="457">
      <c r="Q457">
        <f>IF(AND(ISNUMBER(O457),ISNUMBER(P457),O457&gt;0),ROUND((O457-P457)/O457*100,1),"")</f>
        <v/>
      </c>
    </row>
    <row r="458">
      <c r="Q458">
        <f>IF(AND(ISNUMBER(O458),ISNUMBER(P458),O458&gt;0),ROUND((O458-P458)/O458*100,1),"")</f>
        <v/>
      </c>
    </row>
    <row r="459">
      <c r="Q459">
        <f>IF(AND(ISNUMBER(O459),ISNUMBER(P459),O459&gt;0),ROUND((O459-P459)/O459*100,1),"")</f>
        <v/>
      </c>
    </row>
    <row r="460">
      <c r="Q460">
        <f>IF(AND(ISNUMBER(O460),ISNUMBER(P460),O460&gt;0),ROUND((O460-P460)/O460*100,1),"")</f>
        <v/>
      </c>
    </row>
    <row r="461">
      <c r="Q461">
        <f>IF(AND(ISNUMBER(O461),ISNUMBER(P461),O461&gt;0),ROUND((O461-P461)/O461*100,1),"")</f>
        <v/>
      </c>
    </row>
    <row r="462">
      <c r="Q462">
        <f>IF(AND(ISNUMBER(O462),ISNUMBER(P462),O462&gt;0),ROUND((O462-P462)/O462*100,1),"")</f>
        <v/>
      </c>
    </row>
    <row r="463">
      <c r="Q463">
        <f>IF(AND(ISNUMBER(O463),ISNUMBER(P463),O463&gt;0),ROUND((O463-P463)/O463*100,1),"")</f>
        <v/>
      </c>
    </row>
    <row r="464">
      <c r="Q464">
        <f>IF(AND(ISNUMBER(O464),ISNUMBER(P464),O464&gt;0),ROUND((O464-P464)/O464*100,1),"")</f>
        <v/>
      </c>
    </row>
    <row r="465">
      <c r="Q465">
        <f>IF(AND(ISNUMBER(O465),ISNUMBER(P465),O465&gt;0),ROUND((O465-P465)/O465*100,1),"")</f>
        <v/>
      </c>
    </row>
    <row r="466">
      <c r="Q466">
        <f>IF(AND(ISNUMBER(O466),ISNUMBER(P466),O466&gt;0),ROUND((O466-P466)/O466*100,1),"")</f>
        <v/>
      </c>
    </row>
    <row r="467">
      <c r="Q467">
        <f>IF(AND(ISNUMBER(O467),ISNUMBER(P467),O467&gt;0),ROUND((O467-P467)/O467*100,1),"")</f>
        <v/>
      </c>
    </row>
    <row r="468">
      <c r="Q468">
        <f>IF(AND(ISNUMBER(O468),ISNUMBER(P468),O468&gt;0),ROUND((O468-P468)/O468*100,1),"")</f>
        <v/>
      </c>
    </row>
    <row r="469">
      <c r="Q469">
        <f>IF(AND(ISNUMBER(O469),ISNUMBER(P469),O469&gt;0),ROUND((O469-P469)/O469*100,1),"")</f>
        <v/>
      </c>
    </row>
    <row r="470">
      <c r="Q470">
        <f>IF(AND(ISNUMBER(O470),ISNUMBER(P470),O470&gt;0),ROUND((O470-P470)/O470*100,1),"")</f>
        <v/>
      </c>
    </row>
    <row r="471">
      <c r="Q471">
        <f>IF(AND(ISNUMBER(O471),ISNUMBER(P471),O471&gt;0),ROUND((O471-P471)/O471*100,1),"")</f>
        <v/>
      </c>
    </row>
    <row r="472">
      <c r="Q472">
        <f>IF(AND(ISNUMBER(O472),ISNUMBER(P472),O472&gt;0),ROUND((O472-P472)/O472*100,1),"")</f>
        <v/>
      </c>
    </row>
    <row r="473">
      <c r="Q473">
        <f>IF(AND(ISNUMBER(O473),ISNUMBER(P473),O473&gt;0),ROUND((O473-P473)/O473*100,1),"")</f>
        <v/>
      </c>
    </row>
    <row r="474">
      <c r="Q474">
        <f>IF(AND(ISNUMBER(O474),ISNUMBER(P474),O474&gt;0),ROUND((O474-P474)/O474*100,1),"")</f>
        <v/>
      </c>
    </row>
    <row r="475">
      <c r="Q475">
        <f>IF(AND(ISNUMBER(O475),ISNUMBER(P475),O475&gt;0),ROUND((O475-P475)/O475*100,1),"")</f>
        <v/>
      </c>
    </row>
    <row r="476">
      <c r="Q476">
        <f>IF(AND(ISNUMBER(O476),ISNUMBER(P476),O476&gt;0),ROUND((O476-P476)/O476*100,1),"")</f>
        <v/>
      </c>
    </row>
    <row r="477">
      <c r="Q477">
        <f>IF(AND(ISNUMBER(O477),ISNUMBER(P477),O477&gt;0),ROUND((O477-P477)/O477*100,1),"")</f>
        <v/>
      </c>
    </row>
    <row r="478">
      <c r="Q478">
        <f>IF(AND(ISNUMBER(O478),ISNUMBER(P478),O478&gt;0),ROUND((O478-P478)/O478*100,1),"")</f>
        <v/>
      </c>
    </row>
    <row r="479">
      <c r="Q479">
        <f>IF(AND(ISNUMBER(O479),ISNUMBER(P479),O479&gt;0),ROUND((O479-P479)/O479*100,1),"")</f>
        <v/>
      </c>
    </row>
    <row r="480">
      <c r="Q480">
        <f>IF(AND(ISNUMBER(O480),ISNUMBER(P480),O480&gt;0),ROUND((O480-P480)/O480*100,1),"")</f>
        <v/>
      </c>
    </row>
    <row r="481">
      <c r="Q481">
        <f>IF(AND(ISNUMBER(O481),ISNUMBER(P481),O481&gt;0),ROUND((O481-P481)/O481*100,1),"")</f>
        <v/>
      </c>
    </row>
    <row r="482">
      <c r="Q482">
        <f>IF(AND(ISNUMBER(O482),ISNUMBER(P482),O482&gt;0),ROUND((O482-P482)/O482*100,1),"")</f>
        <v/>
      </c>
    </row>
    <row r="483">
      <c r="Q483">
        <f>IF(AND(ISNUMBER(O483),ISNUMBER(P483),O483&gt;0),ROUND((O483-P483)/O483*100,1),"")</f>
        <v/>
      </c>
    </row>
    <row r="484">
      <c r="Q484">
        <f>IF(AND(ISNUMBER(O484),ISNUMBER(P484),O484&gt;0),ROUND((O484-P484)/O484*100,1),"")</f>
        <v/>
      </c>
    </row>
    <row r="485">
      <c r="Q485">
        <f>IF(AND(ISNUMBER(O485),ISNUMBER(P485),O485&gt;0),ROUND((O485-P485)/O485*100,1),"")</f>
        <v/>
      </c>
    </row>
    <row r="486">
      <c r="Q486">
        <f>IF(AND(ISNUMBER(O486),ISNUMBER(P486),O486&gt;0),ROUND((O486-P486)/O486*100,1),"")</f>
        <v/>
      </c>
    </row>
    <row r="487">
      <c r="Q487">
        <f>IF(AND(ISNUMBER(O487),ISNUMBER(P487),O487&gt;0),ROUND((O487-P487)/O487*100,1),"")</f>
        <v/>
      </c>
    </row>
    <row r="488">
      <c r="Q488">
        <f>IF(AND(ISNUMBER(O488),ISNUMBER(P488),O488&gt;0),ROUND((O488-P488)/O488*100,1),"")</f>
        <v/>
      </c>
    </row>
    <row r="489">
      <c r="Q489">
        <f>IF(AND(ISNUMBER(O489),ISNUMBER(P489),O489&gt;0),ROUND((O489-P489)/O489*100,1),"")</f>
        <v/>
      </c>
    </row>
    <row r="490">
      <c r="Q490">
        <f>IF(AND(ISNUMBER(O490),ISNUMBER(P490),O490&gt;0),ROUND((O490-P490)/O490*100,1),"")</f>
        <v/>
      </c>
    </row>
    <row r="491">
      <c r="Q491">
        <f>IF(AND(ISNUMBER(O491),ISNUMBER(P491),O491&gt;0),ROUND((O491-P491)/O491*100,1),"")</f>
        <v/>
      </c>
    </row>
    <row r="492">
      <c r="Q492">
        <f>IF(AND(ISNUMBER(O492),ISNUMBER(P492),O492&gt;0),ROUND((O492-P492)/O492*100,1),"")</f>
        <v/>
      </c>
    </row>
    <row r="493">
      <c r="Q493">
        <f>IF(AND(ISNUMBER(O493),ISNUMBER(P493),O493&gt;0),ROUND((O493-P493)/O493*100,1),"")</f>
        <v/>
      </c>
    </row>
    <row r="494">
      <c r="Q494">
        <f>IF(AND(ISNUMBER(O494),ISNUMBER(P494),O494&gt;0),ROUND((O494-P494)/O494*100,1),"")</f>
        <v/>
      </c>
    </row>
    <row r="495">
      <c r="Q495">
        <f>IF(AND(ISNUMBER(O495),ISNUMBER(P495),O495&gt;0),ROUND((O495-P495)/O495*100,1),"")</f>
        <v/>
      </c>
    </row>
    <row r="496">
      <c r="Q496">
        <f>IF(AND(ISNUMBER(O496),ISNUMBER(P496),O496&gt;0),ROUND((O496-P496)/O496*100,1),"")</f>
        <v/>
      </c>
    </row>
    <row r="497">
      <c r="Q497">
        <f>IF(AND(ISNUMBER(O497),ISNUMBER(P497),O497&gt;0),ROUND((O497-P497)/O497*100,1),"")</f>
        <v/>
      </c>
    </row>
    <row r="498">
      <c r="Q498">
        <f>IF(AND(ISNUMBER(O498),ISNUMBER(P498),O498&gt;0),ROUND((O498-P498)/O498*100,1),"")</f>
        <v/>
      </c>
    </row>
    <row r="499">
      <c r="Q499">
        <f>IF(AND(ISNUMBER(O499),ISNUMBER(P499),O499&gt;0),ROUND((O499-P499)/O499*100,1),"")</f>
        <v/>
      </c>
    </row>
    <row r="500">
      <c r="Q500">
        <f>IF(AND(ISNUMBER(O500),ISNUMBER(P500),O500&gt;0),ROUND((O500-P500)/O500*100,1),"")</f>
        <v/>
      </c>
    </row>
    <row r="501">
      <c r="Q501">
        <f>IF(AND(ISNUMBER(O501),ISNUMBER(P501),O501&gt;0),ROUND((O501-P501)/O501*100,1),"")</f>
        <v/>
      </c>
    </row>
    <row r="502">
      <c r="Q502">
        <f>IF(AND(ISNUMBER(O502),ISNUMBER(P502),O502&gt;0),ROUND((O502-P502)/O502*100,1),"")</f>
        <v/>
      </c>
    </row>
    <row r="503">
      <c r="Q503">
        <f>IF(AND(ISNUMBER(O503),ISNUMBER(P503),O503&gt;0),ROUND((O503-P503)/O503*100,1),"")</f>
        <v/>
      </c>
    </row>
    <row r="504">
      <c r="Q504">
        <f>IF(AND(ISNUMBER(O504),ISNUMBER(P504),O504&gt;0),ROUND((O504-P504)/O504*100,1),"")</f>
        <v/>
      </c>
    </row>
    <row r="505">
      <c r="Q505">
        <f>IF(AND(ISNUMBER(O505),ISNUMBER(P505),O505&gt;0),ROUND((O505-P505)/O505*100,1),"")</f>
        <v/>
      </c>
    </row>
    <row r="506">
      <c r="Q506">
        <f>IF(AND(ISNUMBER(O506),ISNUMBER(P506),O506&gt;0),ROUND((O506-P506)/O506*100,1),"")</f>
        <v/>
      </c>
    </row>
    <row r="507">
      <c r="Q507">
        <f>IF(AND(ISNUMBER(O507),ISNUMBER(P507),O507&gt;0),ROUND((O507-P507)/O507*100,1),"")</f>
        <v/>
      </c>
    </row>
    <row r="508">
      <c r="Q508">
        <f>IF(AND(ISNUMBER(O508),ISNUMBER(P508),O508&gt;0),ROUND((O508-P508)/O508*100,1),"")</f>
        <v/>
      </c>
    </row>
    <row r="509">
      <c r="Q509">
        <f>IF(AND(ISNUMBER(O509),ISNUMBER(P509),O509&gt;0),ROUND((O509-P509)/O509*100,1),"")</f>
        <v/>
      </c>
    </row>
    <row r="510">
      <c r="Q510">
        <f>IF(AND(ISNUMBER(O510),ISNUMBER(P510),O510&gt;0),ROUND((O510-P510)/O510*100,1),"")</f>
        <v/>
      </c>
    </row>
    <row r="511">
      <c r="Q511">
        <f>IF(AND(ISNUMBER(O511),ISNUMBER(P511),O511&gt;0),ROUND((O511-P511)/O511*100,1),"")</f>
        <v/>
      </c>
    </row>
    <row r="512">
      <c r="Q512">
        <f>IF(AND(ISNUMBER(O512),ISNUMBER(P512),O512&gt;0),ROUND((O512-P512)/O512*100,1),"")</f>
        <v/>
      </c>
    </row>
    <row r="513">
      <c r="Q513">
        <f>IF(AND(ISNUMBER(O513),ISNUMBER(P513),O513&gt;0),ROUND((O513-P513)/O513*100,1),"")</f>
        <v/>
      </c>
    </row>
    <row r="514">
      <c r="Q514">
        <f>IF(AND(ISNUMBER(O514),ISNUMBER(P514),O514&gt;0),ROUND((O514-P514)/O514*100,1),"")</f>
        <v/>
      </c>
    </row>
    <row r="515">
      <c r="Q515">
        <f>IF(AND(ISNUMBER(O515),ISNUMBER(P515),O515&gt;0),ROUND((O515-P515)/O515*100,1),"")</f>
        <v/>
      </c>
    </row>
    <row r="516">
      <c r="Q516">
        <f>IF(AND(ISNUMBER(O516),ISNUMBER(P516),O516&gt;0),ROUND((O516-P516)/O516*100,1),"")</f>
        <v/>
      </c>
    </row>
    <row r="517">
      <c r="Q517">
        <f>IF(AND(ISNUMBER(O517),ISNUMBER(P517),O517&gt;0),ROUND((O517-P517)/O517*100,1),"")</f>
        <v/>
      </c>
    </row>
    <row r="518">
      <c r="Q518">
        <f>IF(AND(ISNUMBER(O518),ISNUMBER(P518),O518&gt;0),ROUND((O518-P518)/O518*100,1),"")</f>
        <v/>
      </c>
    </row>
    <row r="519">
      <c r="Q519">
        <f>IF(AND(ISNUMBER(O519),ISNUMBER(P519),O519&gt;0),ROUND((O519-P519)/O519*100,1),"")</f>
        <v/>
      </c>
    </row>
    <row r="520">
      <c r="Q520">
        <f>IF(AND(ISNUMBER(O520),ISNUMBER(P520),O520&gt;0),ROUND((O520-P520)/O520*100,1),"")</f>
        <v/>
      </c>
    </row>
    <row r="521">
      <c r="Q521">
        <f>IF(AND(ISNUMBER(O521),ISNUMBER(P521),O521&gt;0),ROUND((O521-P521)/O521*100,1),"")</f>
        <v/>
      </c>
    </row>
    <row r="522">
      <c r="Q522">
        <f>IF(AND(ISNUMBER(O522),ISNUMBER(P522),O522&gt;0),ROUND((O522-P522)/O522*100,1),"")</f>
        <v/>
      </c>
    </row>
    <row r="523">
      <c r="Q523">
        <f>IF(AND(ISNUMBER(O523),ISNUMBER(P523),O523&gt;0),ROUND((O523-P523)/O523*100,1),"")</f>
        <v/>
      </c>
    </row>
    <row r="524">
      <c r="Q524">
        <f>IF(AND(ISNUMBER(O524),ISNUMBER(P524),O524&gt;0),ROUND((O524-P524)/O524*100,1),"")</f>
        <v/>
      </c>
    </row>
    <row r="525">
      <c r="Q525">
        <f>IF(AND(ISNUMBER(O525),ISNUMBER(P525),O525&gt;0),ROUND((O525-P525)/O525*100,1),"")</f>
        <v/>
      </c>
    </row>
    <row r="526">
      <c r="Q526">
        <f>IF(AND(ISNUMBER(O526),ISNUMBER(P526),O526&gt;0),ROUND((O526-P526)/O526*100,1),"")</f>
        <v/>
      </c>
    </row>
    <row r="527">
      <c r="Q527">
        <f>IF(AND(ISNUMBER(O527),ISNUMBER(P527),O527&gt;0),ROUND((O527-P527)/O527*100,1),"")</f>
        <v/>
      </c>
    </row>
    <row r="528">
      <c r="Q528">
        <f>IF(AND(ISNUMBER(O528),ISNUMBER(P528),O528&gt;0),ROUND((O528-P528)/O528*100,1),"")</f>
        <v/>
      </c>
    </row>
    <row r="529">
      <c r="Q529">
        <f>IF(AND(ISNUMBER(O529),ISNUMBER(P529),O529&gt;0),ROUND((O529-P529)/O529*100,1),"")</f>
        <v/>
      </c>
    </row>
    <row r="530">
      <c r="Q530">
        <f>IF(AND(ISNUMBER(O530),ISNUMBER(P530),O530&gt;0),ROUND((O530-P530)/O530*100,1),"")</f>
        <v/>
      </c>
    </row>
    <row r="531">
      <c r="Q531">
        <f>IF(AND(ISNUMBER(O531),ISNUMBER(P531),O531&gt;0),ROUND((O531-P531)/O531*100,1),"")</f>
        <v/>
      </c>
    </row>
    <row r="532">
      <c r="Q532">
        <f>IF(AND(ISNUMBER(O532),ISNUMBER(P532),O532&gt;0),ROUND((O532-P532)/O532*100,1),"")</f>
        <v/>
      </c>
    </row>
    <row r="533">
      <c r="Q533">
        <f>IF(AND(ISNUMBER(O533),ISNUMBER(P533),O533&gt;0),ROUND((O533-P533)/O533*100,1),"")</f>
        <v/>
      </c>
    </row>
    <row r="534">
      <c r="Q534">
        <f>IF(AND(ISNUMBER(O534),ISNUMBER(P534),O534&gt;0),ROUND((O534-P534)/O534*100,1),"")</f>
        <v/>
      </c>
    </row>
    <row r="535">
      <c r="Q535">
        <f>IF(AND(ISNUMBER(O535),ISNUMBER(P535),O535&gt;0),ROUND((O535-P535)/O535*100,1),"")</f>
        <v/>
      </c>
    </row>
    <row r="536">
      <c r="Q536">
        <f>IF(AND(ISNUMBER(O536),ISNUMBER(P536),O536&gt;0),ROUND((O536-P536)/O536*100,1),"")</f>
        <v/>
      </c>
    </row>
    <row r="537">
      <c r="Q537">
        <f>IF(AND(ISNUMBER(O537),ISNUMBER(P537),O537&gt;0),ROUND((O537-P537)/O537*100,1),"")</f>
        <v/>
      </c>
    </row>
    <row r="538">
      <c r="Q538">
        <f>IF(AND(ISNUMBER(O538),ISNUMBER(P538),O538&gt;0),ROUND((O538-P538)/O538*100,1),"")</f>
        <v/>
      </c>
    </row>
    <row r="539">
      <c r="Q539">
        <f>IF(AND(ISNUMBER(O539),ISNUMBER(P539),O539&gt;0),ROUND((O539-P539)/O539*100,1),"")</f>
        <v/>
      </c>
    </row>
    <row r="540">
      <c r="Q540">
        <f>IF(AND(ISNUMBER(O540),ISNUMBER(P540),O540&gt;0),ROUND((O540-P540)/O540*100,1),"")</f>
        <v/>
      </c>
    </row>
    <row r="541">
      <c r="Q541">
        <f>IF(AND(ISNUMBER(O541),ISNUMBER(P541),O541&gt;0),ROUND((O541-P541)/O541*100,1),"")</f>
        <v/>
      </c>
    </row>
    <row r="542">
      <c r="Q542">
        <f>IF(AND(ISNUMBER(O542),ISNUMBER(P542),O542&gt;0),ROUND((O542-P542)/O542*100,1),"")</f>
        <v/>
      </c>
    </row>
    <row r="543">
      <c r="Q543">
        <f>IF(AND(ISNUMBER(O543),ISNUMBER(P543),O543&gt;0),ROUND((O543-P543)/O543*100,1),"")</f>
        <v/>
      </c>
    </row>
    <row r="544">
      <c r="Q544">
        <f>IF(AND(ISNUMBER(O544),ISNUMBER(P544),O544&gt;0),ROUND((O544-P544)/O544*100,1),"")</f>
        <v/>
      </c>
    </row>
    <row r="545">
      <c r="Q545">
        <f>IF(AND(ISNUMBER(O545),ISNUMBER(P545),O545&gt;0),ROUND((O545-P545)/O545*100,1),"")</f>
        <v/>
      </c>
    </row>
    <row r="546">
      <c r="Q546">
        <f>IF(AND(ISNUMBER(O546),ISNUMBER(P546),O546&gt;0),ROUND((O546-P546)/O546*100,1),"")</f>
        <v/>
      </c>
    </row>
    <row r="547">
      <c r="Q547">
        <f>IF(AND(ISNUMBER(O547),ISNUMBER(P547),O547&gt;0),ROUND((O547-P547)/O547*100,1),"")</f>
        <v/>
      </c>
    </row>
    <row r="548">
      <c r="Q548">
        <f>IF(AND(ISNUMBER(O548),ISNUMBER(P548),O548&gt;0),ROUND((O548-P548)/O548*100,1),"")</f>
        <v/>
      </c>
    </row>
    <row r="549">
      <c r="Q549">
        <f>IF(AND(ISNUMBER(O549),ISNUMBER(P549),O549&gt;0),ROUND((O549-P549)/O549*100,1),"")</f>
        <v/>
      </c>
    </row>
    <row r="550">
      <c r="Q550">
        <f>IF(AND(ISNUMBER(O550),ISNUMBER(P550),O550&gt;0),ROUND((O550-P550)/O550*100,1),"")</f>
        <v/>
      </c>
    </row>
    <row r="551">
      <c r="Q551">
        <f>IF(AND(ISNUMBER(O551),ISNUMBER(P551),O551&gt;0),ROUND((O551-P551)/O551*100,1),"")</f>
        <v/>
      </c>
    </row>
    <row r="552">
      <c r="Q552">
        <f>IF(AND(ISNUMBER(O552),ISNUMBER(P552),O552&gt;0),ROUND((O552-P552)/O552*100,1),"")</f>
        <v/>
      </c>
    </row>
    <row r="553">
      <c r="Q553">
        <f>IF(AND(ISNUMBER(O553),ISNUMBER(P553),O553&gt;0),ROUND((O553-P553)/O553*100,1),"")</f>
        <v/>
      </c>
    </row>
    <row r="554">
      <c r="Q554">
        <f>IF(AND(ISNUMBER(O554),ISNUMBER(P554),O554&gt;0),ROUND((O554-P554)/O554*100,1),"")</f>
        <v/>
      </c>
    </row>
    <row r="555">
      <c r="Q555">
        <f>IF(AND(ISNUMBER(O555),ISNUMBER(P555),O555&gt;0),ROUND((O555-P555)/O555*100,1),"")</f>
        <v/>
      </c>
    </row>
    <row r="556">
      <c r="Q556">
        <f>IF(AND(ISNUMBER(O556),ISNUMBER(P556),O556&gt;0),ROUND((O556-P556)/O556*100,1),"")</f>
        <v/>
      </c>
    </row>
    <row r="557">
      <c r="Q557">
        <f>IF(AND(ISNUMBER(O557),ISNUMBER(P557),O557&gt;0),ROUND((O557-P557)/O557*100,1),"")</f>
        <v/>
      </c>
    </row>
    <row r="558">
      <c r="Q558">
        <f>IF(AND(ISNUMBER(O558),ISNUMBER(P558),O558&gt;0),ROUND((O558-P558)/O558*100,1),"")</f>
        <v/>
      </c>
    </row>
    <row r="559">
      <c r="Q559">
        <f>IF(AND(ISNUMBER(O559),ISNUMBER(P559),O559&gt;0),ROUND((O559-P559)/O559*100,1),"")</f>
        <v/>
      </c>
    </row>
    <row r="560">
      <c r="Q560">
        <f>IF(AND(ISNUMBER(O560),ISNUMBER(P560),O560&gt;0),ROUND((O560-P560)/O560*100,1),"")</f>
        <v/>
      </c>
    </row>
    <row r="561">
      <c r="Q561">
        <f>IF(AND(ISNUMBER(O561),ISNUMBER(P561),O561&gt;0),ROUND((O561-P561)/O561*100,1),"")</f>
        <v/>
      </c>
    </row>
    <row r="562">
      <c r="Q562">
        <f>IF(AND(ISNUMBER(O562),ISNUMBER(P562),O562&gt;0),ROUND((O562-P562)/O562*100,1),"")</f>
        <v/>
      </c>
    </row>
    <row r="563">
      <c r="Q563">
        <f>IF(AND(ISNUMBER(O563),ISNUMBER(P563),O563&gt;0),ROUND((O563-P563)/O563*100,1),"")</f>
        <v/>
      </c>
    </row>
    <row r="564">
      <c r="Q564">
        <f>IF(AND(ISNUMBER(O564),ISNUMBER(P564),O564&gt;0),ROUND((O564-P564)/O564*100,1),"")</f>
        <v/>
      </c>
    </row>
    <row r="565">
      <c r="Q565">
        <f>IF(AND(ISNUMBER(O565),ISNUMBER(P565),O565&gt;0),ROUND((O565-P565)/O565*100,1),"")</f>
        <v/>
      </c>
    </row>
    <row r="566">
      <c r="Q566">
        <f>IF(AND(ISNUMBER(O566),ISNUMBER(P566),O566&gt;0),ROUND((O566-P566)/O566*100,1),"")</f>
        <v/>
      </c>
    </row>
    <row r="567">
      <c r="Q567">
        <f>IF(AND(ISNUMBER(O567),ISNUMBER(P567),O567&gt;0),ROUND((O567-P567)/O567*100,1),"")</f>
        <v/>
      </c>
    </row>
    <row r="568">
      <c r="Q568">
        <f>IF(AND(ISNUMBER(O568),ISNUMBER(P568),O568&gt;0),ROUND((O568-P568)/O568*100,1),"")</f>
        <v/>
      </c>
    </row>
    <row r="569">
      <c r="Q569">
        <f>IF(AND(ISNUMBER(O569),ISNUMBER(P569),O569&gt;0),ROUND((O569-P569)/O569*100,1),"")</f>
        <v/>
      </c>
    </row>
    <row r="570">
      <c r="Q570">
        <f>IF(AND(ISNUMBER(O570),ISNUMBER(P570),O570&gt;0),ROUND((O570-P570)/O570*100,1),"")</f>
        <v/>
      </c>
    </row>
    <row r="571">
      <c r="Q571">
        <f>IF(AND(ISNUMBER(O571),ISNUMBER(P571),O571&gt;0),ROUND((O571-P571)/O571*100,1),"")</f>
        <v/>
      </c>
    </row>
    <row r="572">
      <c r="Q572">
        <f>IF(AND(ISNUMBER(O572),ISNUMBER(P572),O572&gt;0),ROUND((O572-P572)/O572*100,1),"")</f>
        <v/>
      </c>
    </row>
    <row r="573">
      <c r="Q573">
        <f>IF(AND(ISNUMBER(O573),ISNUMBER(P573),O573&gt;0),ROUND((O573-P573)/O573*100,1),"")</f>
        <v/>
      </c>
    </row>
    <row r="574">
      <c r="Q574">
        <f>IF(AND(ISNUMBER(O574),ISNUMBER(P574),O574&gt;0),ROUND((O574-P574)/O574*100,1),"")</f>
        <v/>
      </c>
    </row>
    <row r="575">
      <c r="Q575">
        <f>IF(AND(ISNUMBER(O575),ISNUMBER(P575),O575&gt;0),ROUND((O575-P575)/O575*100,1),"")</f>
        <v/>
      </c>
    </row>
    <row r="576">
      <c r="Q576">
        <f>IF(AND(ISNUMBER(O576),ISNUMBER(P576),O576&gt;0),ROUND((O576-P576)/O576*100,1),"")</f>
        <v/>
      </c>
    </row>
    <row r="577">
      <c r="Q577">
        <f>IF(AND(ISNUMBER(O577),ISNUMBER(P577),O577&gt;0),ROUND((O577-P577)/O577*100,1),"")</f>
        <v/>
      </c>
    </row>
    <row r="578">
      <c r="Q578">
        <f>IF(AND(ISNUMBER(O578),ISNUMBER(P578),O578&gt;0),ROUND((O578-P578)/O578*100,1),"")</f>
        <v/>
      </c>
    </row>
    <row r="579">
      <c r="Q579">
        <f>IF(AND(ISNUMBER(O579),ISNUMBER(P579),O579&gt;0),ROUND((O579-P579)/O579*100,1),"")</f>
        <v/>
      </c>
    </row>
    <row r="580">
      <c r="Q580">
        <f>IF(AND(ISNUMBER(O580),ISNUMBER(P580),O580&gt;0),ROUND((O580-P580)/O580*100,1),"")</f>
        <v/>
      </c>
    </row>
    <row r="581">
      <c r="Q581">
        <f>IF(AND(ISNUMBER(O581),ISNUMBER(P581),O581&gt;0),ROUND((O581-P581)/O581*100,1),"")</f>
        <v/>
      </c>
    </row>
    <row r="582">
      <c r="Q582">
        <f>IF(AND(ISNUMBER(O582),ISNUMBER(P582),O582&gt;0),ROUND((O582-P582)/O582*100,1),"")</f>
        <v/>
      </c>
    </row>
    <row r="583">
      <c r="Q583">
        <f>IF(AND(ISNUMBER(O583),ISNUMBER(P583),O583&gt;0),ROUND((O583-P583)/O583*100,1),"")</f>
        <v/>
      </c>
    </row>
    <row r="584">
      <c r="Q584">
        <f>IF(AND(ISNUMBER(O584),ISNUMBER(P584),O584&gt;0),ROUND((O584-P584)/O584*100,1),"")</f>
        <v/>
      </c>
    </row>
    <row r="585">
      <c r="Q585">
        <f>IF(AND(ISNUMBER(O585),ISNUMBER(P585),O585&gt;0),ROUND((O585-P585)/O585*100,1),"")</f>
        <v/>
      </c>
    </row>
    <row r="586">
      <c r="Q586">
        <f>IF(AND(ISNUMBER(O586),ISNUMBER(P586),O586&gt;0),ROUND((O586-P586)/O586*100,1),"")</f>
        <v/>
      </c>
    </row>
    <row r="587">
      <c r="Q587">
        <f>IF(AND(ISNUMBER(O587),ISNUMBER(P587),O587&gt;0),ROUND((O587-P587)/O587*100,1),"")</f>
        <v/>
      </c>
    </row>
    <row r="588">
      <c r="Q588">
        <f>IF(AND(ISNUMBER(O588),ISNUMBER(P588),O588&gt;0),ROUND((O588-P588)/O588*100,1),"")</f>
        <v/>
      </c>
    </row>
    <row r="589">
      <c r="Q589">
        <f>IF(AND(ISNUMBER(O589),ISNUMBER(P589),O589&gt;0),ROUND((O589-P589)/O589*100,1),"")</f>
        <v/>
      </c>
    </row>
    <row r="590">
      <c r="Q590">
        <f>IF(AND(ISNUMBER(O590),ISNUMBER(P590),O590&gt;0),ROUND((O590-P590)/O590*100,1),"")</f>
        <v/>
      </c>
    </row>
    <row r="591">
      <c r="Q591">
        <f>IF(AND(ISNUMBER(O591),ISNUMBER(P591),O591&gt;0),ROUND((O591-P591)/O591*100,1),"")</f>
        <v/>
      </c>
    </row>
    <row r="592">
      <c r="Q592">
        <f>IF(AND(ISNUMBER(O592),ISNUMBER(P592),O592&gt;0),ROUND((O592-P592)/O592*100,1),"")</f>
        <v/>
      </c>
    </row>
    <row r="593">
      <c r="Q593">
        <f>IF(AND(ISNUMBER(O593),ISNUMBER(P593),O593&gt;0),ROUND((O593-P593)/O593*100,1),"")</f>
        <v/>
      </c>
    </row>
    <row r="594">
      <c r="Q594">
        <f>IF(AND(ISNUMBER(O594),ISNUMBER(P594),O594&gt;0),ROUND((O594-P594)/O594*100,1),"")</f>
        <v/>
      </c>
    </row>
    <row r="595">
      <c r="Q595">
        <f>IF(AND(ISNUMBER(O595),ISNUMBER(P595),O595&gt;0),ROUND((O595-P595)/O595*100,1),"")</f>
        <v/>
      </c>
    </row>
    <row r="596">
      <c r="Q596">
        <f>IF(AND(ISNUMBER(O596),ISNUMBER(P596),O596&gt;0),ROUND((O596-P596)/O596*100,1),"")</f>
        <v/>
      </c>
    </row>
    <row r="597">
      <c r="Q597">
        <f>IF(AND(ISNUMBER(O597),ISNUMBER(P597),O597&gt;0),ROUND((O597-P597)/O597*100,1),"")</f>
        <v/>
      </c>
    </row>
    <row r="598">
      <c r="Q598">
        <f>IF(AND(ISNUMBER(O598),ISNUMBER(P598),O598&gt;0),ROUND((O598-P598)/O598*100,1),"")</f>
        <v/>
      </c>
    </row>
    <row r="599">
      <c r="Q599">
        <f>IF(AND(ISNUMBER(O599),ISNUMBER(P599),O599&gt;0),ROUND((O599-P599)/O599*100,1),"")</f>
        <v/>
      </c>
    </row>
    <row r="600">
      <c r="Q600">
        <f>IF(AND(ISNUMBER(O600),ISNUMBER(P600),O600&gt;0),ROUND((O600-P600)/O600*100,1),"")</f>
        <v/>
      </c>
    </row>
    <row r="601">
      <c r="Q601">
        <f>IF(AND(ISNUMBER(O601),ISNUMBER(P601),O601&gt;0),ROUND((O601-P601)/O601*100,1),"")</f>
        <v/>
      </c>
    </row>
    <row r="602">
      <c r="Q602">
        <f>IF(AND(ISNUMBER(O602),ISNUMBER(P602),O602&gt;0),ROUND((O602-P602)/O602*100,1),"")</f>
        <v/>
      </c>
    </row>
    <row r="603">
      <c r="Q603">
        <f>IF(AND(ISNUMBER(O603),ISNUMBER(P603),O603&gt;0),ROUND((O603-P603)/O603*100,1),"")</f>
        <v/>
      </c>
    </row>
    <row r="604">
      <c r="Q604">
        <f>IF(AND(ISNUMBER(O604),ISNUMBER(P604),O604&gt;0),ROUND((O604-P604)/O604*100,1),"")</f>
        <v/>
      </c>
    </row>
    <row r="605">
      <c r="Q605">
        <f>IF(AND(ISNUMBER(O605),ISNUMBER(P605),O605&gt;0),ROUND((O605-P605)/O605*100,1),"")</f>
        <v/>
      </c>
    </row>
    <row r="606">
      <c r="Q606">
        <f>IF(AND(ISNUMBER(O606),ISNUMBER(P606),O606&gt;0),ROUND((O606-P606)/O606*100,1),"")</f>
        <v/>
      </c>
    </row>
    <row r="607">
      <c r="Q607">
        <f>IF(AND(ISNUMBER(O607),ISNUMBER(P607),O607&gt;0),ROUND((O607-P607)/O607*100,1),"")</f>
        <v/>
      </c>
    </row>
    <row r="608">
      <c r="Q608">
        <f>IF(AND(ISNUMBER(O608),ISNUMBER(P608),O608&gt;0),ROUND((O608-P608)/O608*100,1),"")</f>
        <v/>
      </c>
    </row>
    <row r="609">
      <c r="Q609">
        <f>IF(AND(ISNUMBER(O609),ISNUMBER(P609),O609&gt;0),ROUND((O609-P609)/O609*100,1),"")</f>
        <v/>
      </c>
    </row>
    <row r="610">
      <c r="Q610">
        <f>IF(AND(ISNUMBER(O610),ISNUMBER(P610),O610&gt;0),ROUND((O610-P610)/O610*100,1),"")</f>
        <v/>
      </c>
    </row>
    <row r="611">
      <c r="Q611">
        <f>IF(AND(ISNUMBER(O611),ISNUMBER(P611),O611&gt;0),ROUND((O611-P611)/O611*100,1),"")</f>
        <v/>
      </c>
    </row>
    <row r="612">
      <c r="Q612">
        <f>IF(AND(ISNUMBER(O612),ISNUMBER(P612),O612&gt;0),ROUND((O612-P612)/O612*100,1),"")</f>
        <v/>
      </c>
    </row>
    <row r="613">
      <c r="Q613">
        <f>IF(AND(ISNUMBER(O613),ISNUMBER(P613),O613&gt;0),ROUND((O613-P613)/O613*100,1),"")</f>
        <v/>
      </c>
    </row>
    <row r="614">
      <c r="Q614">
        <f>IF(AND(ISNUMBER(O614),ISNUMBER(P614),O614&gt;0),ROUND((O614-P614)/O614*100,1),"")</f>
        <v/>
      </c>
    </row>
    <row r="615">
      <c r="Q615">
        <f>IF(AND(ISNUMBER(O615),ISNUMBER(P615),O615&gt;0),ROUND((O615-P615)/O615*100,1),"")</f>
        <v/>
      </c>
    </row>
    <row r="616">
      <c r="Q616">
        <f>IF(AND(ISNUMBER(O616),ISNUMBER(P616),O616&gt;0),ROUND((O616-P616)/O616*100,1),"")</f>
        <v/>
      </c>
    </row>
    <row r="617">
      <c r="Q617">
        <f>IF(AND(ISNUMBER(O617),ISNUMBER(P617),O617&gt;0),ROUND((O617-P617)/O617*100,1),"")</f>
        <v/>
      </c>
    </row>
    <row r="618">
      <c r="Q618">
        <f>IF(AND(ISNUMBER(O618),ISNUMBER(P618),O618&gt;0),ROUND((O618-P618)/O618*100,1),"")</f>
        <v/>
      </c>
    </row>
    <row r="619">
      <c r="Q619">
        <f>IF(AND(ISNUMBER(O619),ISNUMBER(P619),O619&gt;0),ROUND((O619-P619)/O619*100,1),"")</f>
        <v/>
      </c>
    </row>
    <row r="620">
      <c r="Q620">
        <f>IF(AND(ISNUMBER(O620),ISNUMBER(P620),O620&gt;0),ROUND((O620-P620)/O620*100,1),"")</f>
        <v/>
      </c>
    </row>
    <row r="621">
      <c r="Q621">
        <f>IF(AND(ISNUMBER(O621),ISNUMBER(P621),O621&gt;0),ROUND((O621-P621)/O621*100,1),"")</f>
        <v/>
      </c>
    </row>
    <row r="622">
      <c r="Q622">
        <f>IF(AND(ISNUMBER(O622),ISNUMBER(P622),O622&gt;0),ROUND((O622-P622)/O622*100,1),"")</f>
        <v/>
      </c>
    </row>
    <row r="623">
      <c r="Q623">
        <f>IF(AND(ISNUMBER(O623),ISNUMBER(P623),O623&gt;0),ROUND((O623-P623)/O623*100,1),"")</f>
        <v/>
      </c>
    </row>
    <row r="624">
      <c r="Q624">
        <f>IF(AND(ISNUMBER(O624),ISNUMBER(P624),O624&gt;0),ROUND((O624-P624)/O624*100,1),"")</f>
        <v/>
      </c>
    </row>
    <row r="625">
      <c r="Q625">
        <f>IF(AND(ISNUMBER(O625),ISNUMBER(P625),O625&gt;0),ROUND((O625-P625)/O625*100,1),"")</f>
        <v/>
      </c>
    </row>
    <row r="626">
      <c r="Q626">
        <f>IF(AND(ISNUMBER(O626),ISNUMBER(P626),O626&gt;0),ROUND((O626-P626)/O626*100,1),"")</f>
        <v/>
      </c>
    </row>
    <row r="627">
      <c r="Q627">
        <f>IF(AND(ISNUMBER(O627),ISNUMBER(P627),O627&gt;0),ROUND((O627-P627)/O627*100,1),"")</f>
        <v/>
      </c>
    </row>
    <row r="628">
      <c r="Q628">
        <f>IF(AND(ISNUMBER(O628),ISNUMBER(P628),O628&gt;0),ROUND((O628-P628)/O628*100,1),"")</f>
        <v/>
      </c>
    </row>
    <row r="629">
      <c r="Q629">
        <f>IF(AND(ISNUMBER(O629),ISNUMBER(P629),O629&gt;0),ROUND((O629-P629)/O629*100,1),"")</f>
        <v/>
      </c>
    </row>
    <row r="630">
      <c r="Q630">
        <f>IF(AND(ISNUMBER(O630),ISNUMBER(P630),O630&gt;0),ROUND((O630-P630)/O630*100,1),"")</f>
        <v/>
      </c>
    </row>
    <row r="631">
      <c r="Q631">
        <f>IF(AND(ISNUMBER(O631),ISNUMBER(P631),O631&gt;0),ROUND((O631-P631)/O631*100,1),"")</f>
        <v/>
      </c>
    </row>
    <row r="632">
      <c r="Q632">
        <f>IF(AND(ISNUMBER(O632),ISNUMBER(P632),O632&gt;0),ROUND((O632-P632)/O632*100,1),"")</f>
        <v/>
      </c>
    </row>
    <row r="633">
      <c r="Q633">
        <f>IF(AND(ISNUMBER(O633),ISNUMBER(P633),O633&gt;0),ROUND((O633-P633)/O633*100,1),"")</f>
        <v/>
      </c>
    </row>
    <row r="634">
      <c r="Q634">
        <f>IF(AND(ISNUMBER(O634),ISNUMBER(P634),O634&gt;0),ROUND((O634-P634)/O634*100,1),"")</f>
        <v/>
      </c>
    </row>
    <row r="635">
      <c r="Q635">
        <f>IF(AND(ISNUMBER(O635),ISNUMBER(P635),O635&gt;0),ROUND((O635-P635)/O635*100,1),"")</f>
        <v/>
      </c>
    </row>
    <row r="636">
      <c r="Q636">
        <f>IF(AND(ISNUMBER(O636),ISNUMBER(P636),O636&gt;0),ROUND((O636-P636)/O636*100,1),"")</f>
        <v/>
      </c>
    </row>
    <row r="637">
      <c r="Q637">
        <f>IF(AND(ISNUMBER(O637),ISNUMBER(P637),O637&gt;0),ROUND((O637-P637)/O637*100,1),"")</f>
        <v/>
      </c>
    </row>
    <row r="638">
      <c r="Q638">
        <f>IF(AND(ISNUMBER(O638),ISNUMBER(P638),O638&gt;0),ROUND((O638-P638)/O638*100,1),"")</f>
        <v/>
      </c>
    </row>
    <row r="639">
      <c r="Q639">
        <f>IF(AND(ISNUMBER(O639),ISNUMBER(P639),O639&gt;0),ROUND((O639-P639)/O639*100,1),"")</f>
        <v/>
      </c>
    </row>
    <row r="640">
      <c r="Q640">
        <f>IF(AND(ISNUMBER(O640),ISNUMBER(P640),O640&gt;0),ROUND((O640-P640)/O640*100,1),"")</f>
        <v/>
      </c>
    </row>
    <row r="641">
      <c r="Q641">
        <f>IF(AND(ISNUMBER(O641),ISNUMBER(P641),O641&gt;0),ROUND((O641-P641)/O641*100,1),"")</f>
        <v/>
      </c>
    </row>
    <row r="642">
      <c r="Q642">
        <f>IF(AND(ISNUMBER(O642),ISNUMBER(P642),O642&gt;0),ROUND((O642-P642)/O642*100,1),"")</f>
        <v/>
      </c>
    </row>
    <row r="643">
      <c r="Q643">
        <f>IF(AND(ISNUMBER(O643),ISNUMBER(P643),O643&gt;0),ROUND((O643-P643)/O643*100,1),"")</f>
        <v/>
      </c>
    </row>
    <row r="644">
      <c r="Q644">
        <f>IF(AND(ISNUMBER(O644),ISNUMBER(P644),O644&gt;0),ROUND((O644-P644)/O644*100,1),"")</f>
        <v/>
      </c>
    </row>
    <row r="645">
      <c r="Q645">
        <f>IF(AND(ISNUMBER(O645),ISNUMBER(P645),O645&gt;0),ROUND((O645-P645)/O645*100,1),"")</f>
        <v/>
      </c>
    </row>
    <row r="646">
      <c r="Q646">
        <f>IF(AND(ISNUMBER(O646),ISNUMBER(P646),O646&gt;0),ROUND((O646-P646)/O646*100,1),"")</f>
        <v/>
      </c>
    </row>
    <row r="647">
      <c r="Q647">
        <f>IF(AND(ISNUMBER(O647),ISNUMBER(P647),O647&gt;0),ROUND((O647-P647)/O647*100,1),"")</f>
        <v/>
      </c>
    </row>
    <row r="648">
      <c r="Q648">
        <f>IF(AND(ISNUMBER(O648),ISNUMBER(P648),O648&gt;0),ROUND((O648-P648)/O648*100,1),"")</f>
        <v/>
      </c>
    </row>
    <row r="649">
      <c r="Q649">
        <f>IF(AND(ISNUMBER(O649),ISNUMBER(P649),O649&gt;0),ROUND((O649-P649)/O649*100,1),"")</f>
        <v/>
      </c>
    </row>
    <row r="650">
      <c r="Q650">
        <f>IF(AND(ISNUMBER(O650),ISNUMBER(P650),O650&gt;0),ROUND((O650-P650)/O650*100,1),"")</f>
        <v/>
      </c>
    </row>
    <row r="651">
      <c r="Q651">
        <f>IF(AND(ISNUMBER(O651),ISNUMBER(P651),O651&gt;0),ROUND((O651-P651)/O651*100,1),"")</f>
        <v/>
      </c>
    </row>
    <row r="652">
      <c r="Q652">
        <f>IF(AND(ISNUMBER(O652),ISNUMBER(P652),O652&gt;0),ROUND((O652-P652)/O652*100,1),"")</f>
        <v/>
      </c>
    </row>
    <row r="653">
      <c r="Q653">
        <f>IF(AND(ISNUMBER(O653),ISNUMBER(P653),O653&gt;0),ROUND((O653-P653)/O653*100,1),"")</f>
        <v/>
      </c>
    </row>
    <row r="654">
      <c r="Q654">
        <f>IF(AND(ISNUMBER(O654),ISNUMBER(P654),O654&gt;0),ROUND((O654-P654)/O654*100,1),"")</f>
        <v/>
      </c>
    </row>
    <row r="655">
      <c r="Q655">
        <f>IF(AND(ISNUMBER(O655),ISNUMBER(P655),O655&gt;0),ROUND((O655-P655)/O655*100,1),"")</f>
        <v/>
      </c>
    </row>
    <row r="656">
      <c r="Q656">
        <f>IF(AND(ISNUMBER(O656),ISNUMBER(P656),O656&gt;0),ROUND((O656-P656)/O656*100,1),"")</f>
        <v/>
      </c>
    </row>
    <row r="657">
      <c r="Q657">
        <f>IF(AND(ISNUMBER(O657),ISNUMBER(P657),O657&gt;0),ROUND((O657-P657)/O657*100,1),"")</f>
        <v/>
      </c>
    </row>
    <row r="658">
      <c r="Q658">
        <f>IF(AND(ISNUMBER(O658),ISNUMBER(P658),O658&gt;0),ROUND((O658-P658)/O658*100,1),"")</f>
        <v/>
      </c>
    </row>
    <row r="659">
      <c r="Q659">
        <f>IF(AND(ISNUMBER(O659),ISNUMBER(P659),O659&gt;0),ROUND((O659-P659)/O659*100,1),"")</f>
        <v/>
      </c>
    </row>
    <row r="660">
      <c r="Q660">
        <f>IF(AND(ISNUMBER(O660),ISNUMBER(P660),O660&gt;0),ROUND((O660-P660)/O660*100,1),"")</f>
        <v/>
      </c>
    </row>
    <row r="661">
      <c r="Q661">
        <f>IF(AND(ISNUMBER(O661),ISNUMBER(P661),O661&gt;0),ROUND((O661-P661)/O661*100,1),"")</f>
        <v/>
      </c>
    </row>
    <row r="662">
      <c r="Q662">
        <f>IF(AND(ISNUMBER(O662),ISNUMBER(P662),O662&gt;0),ROUND((O662-P662)/O662*100,1),"")</f>
        <v/>
      </c>
    </row>
    <row r="663">
      <c r="Q663">
        <f>IF(AND(ISNUMBER(O663),ISNUMBER(P663),O663&gt;0),ROUND((O663-P663)/O663*100,1),"")</f>
        <v/>
      </c>
    </row>
    <row r="664">
      <c r="Q664">
        <f>IF(AND(ISNUMBER(O664),ISNUMBER(P664),O664&gt;0),ROUND((O664-P664)/O664*100,1),"")</f>
        <v/>
      </c>
    </row>
    <row r="665">
      <c r="Q665">
        <f>IF(AND(ISNUMBER(O665),ISNUMBER(P665),O665&gt;0),ROUND((O665-P665)/O665*100,1),"")</f>
        <v/>
      </c>
    </row>
    <row r="666">
      <c r="Q666">
        <f>IF(AND(ISNUMBER(O666),ISNUMBER(P666),O666&gt;0),ROUND((O666-P666)/O666*100,1),"")</f>
        <v/>
      </c>
    </row>
    <row r="667">
      <c r="Q667">
        <f>IF(AND(ISNUMBER(O667),ISNUMBER(P667),O667&gt;0),ROUND((O667-P667)/O667*100,1),"")</f>
        <v/>
      </c>
    </row>
    <row r="668">
      <c r="Q668">
        <f>IF(AND(ISNUMBER(O668),ISNUMBER(P668),O668&gt;0),ROUND((O668-P668)/O668*100,1),"")</f>
        <v/>
      </c>
    </row>
    <row r="669">
      <c r="Q669">
        <f>IF(AND(ISNUMBER(O669),ISNUMBER(P669),O669&gt;0),ROUND((O669-P669)/O669*100,1),"")</f>
        <v/>
      </c>
    </row>
    <row r="670">
      <c r="Q670">
        <f>IF(AND(ISNUMBER(O670),ISNUMBER(P670),O670&gt;0),ROUND((O670-P670)/O670*100,1),"")</f>
        <v/>
      </c>
    </row>
    <row r="671">
      <c r="Q671">
        <f>IF(AND(ISNUMBER(O671),ISNUMBER(P671),O671&gt;0),ROUND((O671-P671)/O671*100,1),"")</f>
        <v/>
      </c>
    </row>
    <row r="672">
      <c r="Q672">
        <f>IF(AND(ISNUMBER(O672),ISNUMBER(P672),O672&gt;0),ROUND((O672-P672)/O672*100,1),"")</f>
        <v/>
      </c>
    </row>
    <row r="673">
      <c r="Q673">
        <f>IF(AND(ISNUMBER(O673),ISNUMBER(P673),O673&gt;0),ROUND((O673-P673)/O673*100,1),"")</f>
        <v/>
      </c>
    </row>
    <row r="674">
      <c r="Q674">
        <f>IF(AND(ISNUMBER(O674),ISNUMBER(P674),O674&gt;0),ROUND((O674-P674)/O674*100,1),"")</f>
        <v/>
      </c>
    </row>
    <row r="675">
      <c r="Q675">
        <f>IF(AND(ISNUMBER(O675),ISNUMBER(P675),O675&gt;0),ROUND((O675-P675)/O675*100,1),"")</f>
        <v/>
      </c>
    </row>
    <row r="676">
      <c r="Q676">
        <f>IF(AND(ISNUMBER(O676),ISNUMBER(P676),O676&gt;0),ROUND((O676-P676)/O676*100,1),"")</f>
        <v/>
      </c>
    </row>
    <row r="677">
      <c r="Q677">
        <f>IF(AND(ISNUMBER(O677),ISNUMBER(P677),O677&gt;0),ROUND((O677-P677)/O677*100,1),"")</f>
        <v/>
      </c>
    </row>
    <row r="678">
      <c r="Q678">
        <f>IF(AND(ISNUMBER(O678),ISNUMBER(P678),O678&gt;0),ROUND((O678-P678)/O678*100,1),"")</f>
        <v/>
      </c>
    </row>
    <row r="679">
      <c r="Q679">
        <f>IF(AND(ISNUMBER(O679),ISNUMBER(P679),O679&gt;0),ROUND((O679-P679)/O679*100,1),"")</f>
        <v/>
      </c>
    </row>
    <row r="680">
      <c r="Q680">
        <f>IF(AND(ISNUMBER(O680),ISNUMBER(P680),O680&gt;0),ROUND((O680-P680)/O680*100,1),"")</f>
        <v/>
      </c>
    </row>
    <row r="681">
      <c r="Q681">
        <f>IF(AND(ISNUMBER(O681),ISNUMBER(P681),O681&gt;0),ROUND((O681-P681)/O681*100,1),"")</f>
        <v/>
      </c>
    </row>
    <row r="682">
      <c r="Q682">
        <f>IF(AND(ISNUMBER(O682),ISNUMBER(P682),O682&gt;0),ROUND((O682-P682)/O682*100,1),"")</f>
        <v/>
      </c>
    </row>
    <row r="683">
      <c r="Q683">
        <f>IF(AND(ISNUMBER(O683),ISNUMBER(P683),O683&gt;0),ROUND((O683-P683)/O683*100,1),"")</f>
        <v/>
      </c>
    </row>
    <row r="684">
      <c r="Q684">
        <f>IF(AND(ISNUMBER(O684),ISNUMBER(P684),O684&gt;0),ROUND((O684-P684)/O684*100,1),"")</f>
        <v/>
      </c>
    </row>
    <row r="685">
      <c r="Q685">
        <f>IF(AND(ISNUMBER(O685),ISNUMBER(P685),O685&gt;0),ROUND((O685-P685)/O685*100,1),"")</f>
        <v/>
      </c>
    </row>
    <row r="686">
      <c r="Q686">
        <f>IF(AND(ISNUMBER(O686),ISNUMBER(P686),O686&gt;0),ROUND((O686-P686)/O686*100,1),"")</f>
        <v/>
      </c>
    </row>
    <row r="687">
      <c r="Q687">
        <f>IF(AND(ISNUMBER(O687),ISNUMBER(P687),O687&gt;0),ROUND((O687-P687)/O687*100,1),"")</f>
        <v/>
      </c>
    </row>
    <row r="688">
      <c r="Q688">
        <f>IF(AND(ISNUMBER(O688),ISNUMBER(P688),O688&gt;0),ROUND((O688-P688)/O688*100,1),"")</f>
        <v/>
      </c>
    </row>
    <row r="689">
      <c r="Q689">
        <f>IF(AND(ISNUMBER(O689),ISNUMBER(P689),O689&gt;0),ROUND((O689-P689)/O689*100,1),"")</f>
        <v/>
      </c>
    </row>
    <row r="690">
      <c r="Q690">
        <f>IF(AND(ISNUMBER(O690),ISNUMBER(P690),O690&gt;0),ROUND((O690-P690)/O690*100,1),"")</f>
        <v/>
      </c>
    </row>
    <row r="691">
      <c r="Q691">
        <f>IF(AND(ISNUMBER(O691),ISNUMBER(P691),O691&gt;0),ROUND((O691-P691)/O691*100,1),"")</f>
        <v/>
      </c>
    </row>
    <row r="692">
      <c r="Q692">
        <f>IF(AND(ISNUMBER(O692),ISNUMBER(P692),O692&gt;0),ROUND((O692-P692)/O692*100,1),"")</f>
        <v/>
      </c>
    </row>
    <row r="693">
      <c r="Q693">
        <f>IF(AND(ISNUMBER(O693),ISNUMBER(P693),O693&gt;0),ROUND((O693-P693)/O693*100,1),"")</f>
        <v/>
      </c>
    </row>
    <row r="694">
      <c r="Q694">
        <f>IF(AND(ISNUMBER(O694),ISNUMBER(P694),O694&gt;0),ROUND((O694-P694)/O694*100,1),"")</f>
        <v/>
      </c>
    </row>
    <row r="695">
      <c r="Q695">
        <f>IF(AND(ISNUMBER(O695),ISNUMBER(P695),O695&gt;0),ROUND((O695-P695)/O695*100,1),"")</f>
        <v/>
      </c>
    </row>
    <row r="696">
      <c r="Q696">
        <f>IF(AND(ISNUMBER(O696),ISNUMBER(P696),O696&gt;0),ROUND((O696-P696)/O696*100,1),"")</f>
        <v/>
      </c>
    </row>
    <row r="697">
      <c r="Q697">
        <f>IF(AND(ISNUMBER(O697),ISNUMBER(P697),O697&gt;0),ROUND((O697-P697)/O697*100,1),"")</f>
        <v/>
      </c>
    </row>
    <row r="698">
      <c r="Q698">
        <f>IF(AND(ISNUMBER(O698),ISNUMBER(P698),O698&gt;0),ROUND((O698-P698)/O698*100,1),"")</f>
        <v/>
      </c>
    </row>
    <row r="699">
      <c r="Q699">
        <f>IF(AND(ISNUMBER(O699),ISNUMBER(P699),O699&gt;0),ROUND((O699-P699)/O699*100,1),"")</f>
        <v/>
      </c>
    </row>
    <row r="700">
      <c r="Q700">
        <f>IF(AND(ISNUMBER(O700),ISNUMBER(P700),O700&gt;0),ROUND((O700-P700)/O700*100,1),"")</f>
        <v/>
      </c>
    </row>
    <row r="701">
      <c r="Q701">
        <f>IF(AND(ISNUMBER(O701),ISNUMBER(P701),O701&gt;0),ROUND((O701-P701)/O701*100,1),"")</f>
        <v/>
      </c>
    </row>
    <row r="702">
      <c r="Q702">
        <f>IF(AND(ISNUMBER(O702),ISNUMBER(P702),O702&gt;0),ROUND((O702-P702)/O702*100,1),"")</f>
        <v/>
      </c>
    </row>
    <row r="703">
      <c r="Q703">
        <f>IF(AND(ISNUMBER(O703),ISNUMBER(P703),O703&gt;0),ROUND((O703-P703)/O703*100,1),"")</f>
        <v/>
      </c>
    </row>
    <row r="704">
      <c r="Q704">
        <f>IF(AND(ISNUMBER(O704),ISNUMBER(P704),O704&gt;0),ROUND((O704-P704)/O704*100,1),"")</f>
        <v/>
      </c>
    </row>
    <row r="705">
      <c r="Q705">
        <f>IF(AND(ISNUMBER(O705),ISNUMBER(P705),O705&gt;0),ROUND((O705-P705)/O705*100,1),"")</f>
        <v/>
      </c>
    </row>
    <row r="706">
      <c r="Q706">
        <f>IF(AND(ISNUMBER(O706),ISNUMBER(P706),O706&gt;0),ROUND((O706-P706)/O706*100,1),"")</f>
        <v/>
      </c>
    </row>
    <row r="707">
      <c r="Q707">
        <f>IF(AND(ISNUMBER(O707),ISNUMBER(P707),O707&gt;0),ROUND((O707-P707)/O707*100,1),"")</f>
        <v/>
      </c>
    </row>
    <row r="708">
      <c r="Q708">
        <f>IF(AND(ISNUMBER(O708),ISNUMBER(P708),O708&gt;0),ROUND((O708-P708)/O708*100,1),"")</f>
        <v/>
      </c>
    </row>
    <row r="709">
      <c r="Q709">
        <f>IF(AND(ISNUMBER(O709),ISNUMBER(P709),O709&gt;0),ROUND((O709-P709)/O709*100,1),"")</f>
        <v/>
      </c>
    </row>
    <row r="710">
      <c r="Q710">
        <f>IF(AND(ISNUMBER(O710),ISNUMBER(P710),O710&gt;0),ROUND((O710-P710)/O710*100,1),"")</f>
        <v/>
      </c>
    </row>
    <row r="711">
      <c r="Q711">
        <f>IF(AND(ISNUMBER(O711),ISNUMBER(P711),O711&gt;0),ROUND((O711-P711)/O711*100,1),"")</f>
        <v/>
      </c>
    </row>
    <row r="712">
      <c r="Q712">
        <f>IF(AND(ISNUMBER(O712),ISNUMBER(P712),O712&gt;0),ROUND((O712-P712)/O712*100,1),"")</f>
        <v/>
      </c>
    </row>
    <row r="713">
      <c r="Q713">
        <f>IF(AND(ISNUMBER(O713),ISNUMBER(P713),O713&gt;0),ROUND((O713-P713)/O713*100,1),"")</f>
        <v/>
      </c>
    </row>
    <row r="714">
      <c r="Q714">
        <f>IF(AND(ISNUMBER(O714),ISNUMBER(P714),O714&gt;0),ROUND((O714-P714)/O714*100,1),"")</f>
        <v/>
      </c>
    </row>
    <row r="715">
      <c r="Q715">
        <f>IF(AND(ISNUMBER(O715),ISNUMBER(P715),O715&gt;0),ROUND((O715-P715)/O715*100,1),"")</f>
        <v/>
      </c>
    </row>
    <row r="716">
      <c r="Q716">
        <f>IF(AND(ISNUMBER(O716),ISNUMBER(P716),O716&gt;0),ROUND((O716-P716)/O716*100,1),"")</f>
        <v/>
      </c>
    </row>
    <row r="717">
      <c r="Q717">
        <f>IF(AND(ISNUMBER(O717),ISNUMBER(P717),O717&gt;0),ROUND((O717-P717)/O717*100,1),"")</f>
        <v/>
      </c>
    </row>
    <row r="718">
      <c r="Q718">
        <f>IF(AND(ISNUMBER(O718),ISNUMBER(P718),O718&gt;0),ROUND((O718-P718)/O718*100,1),"")</f>
        <v/>
      </c>
    </row>
    <row r="719">
      <c r="Q719">
        <f>IF(AND(ISNUMBER(O719),ISNUMBER(P719),O719&gt;0),ROUND((O719-P719)/O719*100,1),"")</f>
        <v/>
      </c>
    </row>
    <row r="720">
      <c r="Q720">
        <f>IF(AND(ISNUMBER(O720),ISNUMBER(P720),O720&gt;0),ROUND((O720-P720)/O720*100,1),"")</f>
        <v/>
      </c>
    </row>
    <row r="721">
      <c r="Q721">
        <f>IF(AND(ISNUMBER(O721),ISNUMBER(P721),O721&gt;0),ROUND((O721-P721)/O721*100,1),"")</f>
        <v/>
      </c>
    </row>
    <row r="722">
      <c r="Q722">
        <f>IF(AND(ISNUMBER(O722),ISNUMBER(P722),O722&gt;0),ROUND((O722-P722)/O722*100,1),"")</f>
        <v/>
      </c>
    </row>
    <row r="723">
      <c r="Q723">
        <f>IF(AND(ISNUMBER(O723),ISNUMBER(P723),O723&gt;0),ROUND((O723-P723)/O723*100,1),"")</f>
        <v/>
      </c>
    </row>
    <row r="724">
      <c r="Q724">
        <f>IF(AND(ISNUMBER(O724),ISNUMBER(P724),O724&gt;0),ROUND((O724-P724)/O724*100,1),"")</f>
        <v/>
      </c>
    </row>
    <row r="725">
      <c r="Q725">
        <f>IF(AND(ISNUMBER(O725),ISNUMBER(P725),O725&gt;0),ROUND((O725-P725)/O725*100,1),"")</f>
        <v/>
      </c>
    </row>
    <row r="726">
      <c r="Q726">
        <f>IF(AND(ISNUMBER(O726),ISNUMBER(P726),O726&gt;0),ROUND((O726-P726)/O726*100,1),"")</f>
        <v/>
      </c>
    </row>
    <row r="727">
      <c r="Q727">
        <f>IF(AND(ISNUMBER(O727),ISNUMBER(P727),O727&gt;0),ROUND((O727-P727)/O727*100,1),"")</f>
        <v/>
      </c>
    </row>
    <row r="728">
      <c r="Q728">
        <f>IF(AND(ISNUMBER(O728),ISNUMBER(P728),O728&gt;0),ROUND((O728-P728)/O728*100,1),"")</f>
        <v/>
      </c>
    </row>
    <row r="729">
      <c r="Q729">
        <f>IF(AND(ISNUMBER(O729),ISNUMBER(P729),O729&gt;0),ROUND((O729-P729)/O729*100,1),"")</f>
        <v/>
      </c>
    </row>
    <row r="730">
      <c r="Q730">
        <f>IF(AND(ISNUMBER(O730),ISNUMBER(P730),O730&gt;0),ROUND((O730-P730)/O730*100,1),"")</f>
        <v/>
      </c>
    </row>
    <row r="731">
      <c r="Q731">
        <f>IF(AND(ISNUMBER(O731),ISNUMBER(P731),O731&gt;0),ROUND((O731-P731)/O731*100,1),"")</f>
        <v/>
      </c>
    </row>
    <row r="732">
      <c r="Q732">
        <f>IF(AND(ISNUMBER(O732),ISNUMBER(P732),O732&gt;0),ROUND((O732-P732)/O732*100,1),"")</f>
        <v/>
      </c>
    </row>
    <row r="733">
      <c r="Q733">
        <f>IF(AND(ISNUMBER(O733),ISNUMBER(P733),O733&gt;0),ROUND((O733-P733)/O733*100,1),"")</f>
        <v/>
      </c>
    </row>
    <row r="734">
      <c r="Q734">
        <f>IF(AND(ISNUMBER(O734),ISNUMBER(P734),O734&gt;0),ROUND((O734-P734)/O734*100,1),"")</f>
        <v/>
      </c>
    </row>
    <row r="735">
      <c r="Q735">
        <f>IF(AND(ISNUMBER(O735),ISNUMBER(P735),O735&gt;0),ROUND((O735-P735)/O735*100,1),"")</f>
        <v/>
      </c>
    </row>
    <row r="736">
      <c r="Q736">
        <f>IF(AND(ISNUMBER(O736),ISNUMBER(P736),O736&gt;0),ROUND((O736-P736)/O736*100,1),"")</f>
        <v/>
      </c>
    </row>
    <row r="737">
      <c r="Q737">
        <f>IF(AND(ISNUMBER(O737),ISNUMBER(P737),O737&gt;0),ROUND((O737-P737)/O737*100,1),"")</f>
        <v/>
      </c>
    </row>
    <row r="738">
      <c r="Q738">
        <f>IF(AND(ISNUMBER(O738),ISNUMBER(P738),O738&gt;0),ROUND((O738-P738)/O738*100,1),"")</f>
        <v/>
      </c>
    </row>
    <row r="739">
      <c r="Q739">
        <f>IF(AND(ISNUMBER(O739),ISNUMBER(P739),O739&gt;0),ROUND((O739-P739)/O739*100,1),"")</f>
        <v/>
      </c>
    </row>
    <row r="740">
      <c r="Q740">
        <f>IF(AND(ISNUMBER(O740),ISNUMBER(P740),O740&gt;0),ROUND((O740-P740)/O740*100,1),"")</f>
        <v/>
      </c>
    </row>
    <row r="741">
      <c r="Q741">
        <f>IF(AND(ISNUMBER(O741),ISNUMBER(P741),O741&gt;0),ROUND((O741-P741)/O741*100,1),"")</f>
        <v/>
      </c>
    </row>
    <row r="742">
      <c r="Q742">
        <f>IF(AND(ISNUMBER(O742),ISNUMBER(P742),O742&gt;0),ROUND((O742-P742)/O742*100,1),"")</f>
        <v/>
      </c>
    </row>
    <row r="743">
      <c r="Q743">
        <f>IF(AND(ISNUMBER(O743),ISNUMBER(P743),O743&gt;0),ROUND((O743-P743)/O743*100,1),"")</f>
        <v/>
      </c>
    </row>
    <row r="744">
      <c r="Q744">
        <f>IF(AND(ISNUMBER(O744),ISNUMBER(P744),O744&gt;0),ROUND((O744-P744)/O744*100,1),"")</f>
        <v/>
      </c>
    </row>
    <row r="745">
      <c r="Q745">
        <f>IF(AND(ISNUMBER(O745),ISNUMBER(P745),O745&gt;0),ROUND((O745-P745)/O745*100,1),"")</f>
        <v/>
      </c>
    </row>
    <row r="746">
      <c r="Q746">
        <f>IF(AND(ISNUMBER(O746),ISNUMBER(P746),O746&gt;0),ROUND((O746-P746)/O746*100,1),"")</f>
        <v/>
      </c>
    </row>
    <row r="747">
      <c r="Q747">
        <f>IF(AND(ISNUMBER(O747),ISNUMBER(P747),O747&gt;0),ROUND((O747-P747)/O747*100,1),"")</f>
        <v/>
      </c>
    </row>
    <row r="748">
      <c r="Q748">
        <f>IF(AND(ISNUMBER(O748),ISNUMBER(P748),O748&gt;0),ROUND((O748-P748)/O748*100,1),"")</f>
        <v/>
      </c>
    </row>
    <row r="749">
      <c r="Q749">
        <f>IF(AND(ISNUMBER(O749),ISNUMBER(P749),O749&gt;0),ROUND((O749-P749)/O749*100,1),"")</f>
        <v/>
      </c>
    </row>
    <row r="750">
      <c r="Q750">
        <f>IF(AND(ISNUMBER(O750),ISNUMBER(P750),O750&gt;0),ROUND((O750-P750)/O750*100,1),"")</f>
        <v/>
      </c>
    </row>
    <row r="751">
      <c r="Q751">
        <f>IF(AND(ISNUMBER(O751),ISNUMBER(P751),O751&gt;0),ROUND((O751-P751)/O751*100,1),"")</f>
        <v/>
      </c>
    </row>
    <row r="752">
      <c r="Q752">
        <f>IF(AND(ISNUMBER(O752),ISNUMBER(P752),O752&gt;0),ROUND((O752-P752)/O752*100,1),"")</f>
        <v/>
      </c>
    </row>
    <row r="753">
      <c r="Q753">
        <f>IF(AND(ISNUMBER(O753),ISNUMBER(P753),O753&gt;0),ROUND((O753-P753)/O753*100,1),"")</f>
        <v/>
      </c>
    </row>
    <row r="754">
      <c r="Q754">
        <f>IF(AND(ISNUMBER(O754),ISNUMBER(P754),O754&gt;0),ROUND((O754-P754)/O754*100,1),"")</f>
        <v/>
      </c>
    </row>
    <row r="755">
      <c r="Q755">
        <f>IF(AND(ISNUMBER(O755),ISNUMBER(P755),O755&gt;0),ROUND((O755-P755)/O755*100,1),"")</f>
        <v/>
      </c>
    </row>
    <row r="756">
      <c r="Q756">
        <f>IF(AND(ISNUMBER(O756),ISNUMBER(P756),O756&gt;0),ROUND((O756-P756)/O756*100,1),"")</f>
        <v/>
      </c>
    </row>
    <row r="757">
      <c r="Q757">
        <f>IF(AND(ISNUMBER(O757),ISNUMBER(P757),O757&gt;0),ROUND((O757-P757)/O757*100,1),"")</f>
        <v/>
      </c>
    </row>
    <row r="758">
      <c r="Q758">
        <f>IF(AND(ISNUMBER(O758),ISNUMBER(P758),O758&gt;0),ROUND((O758-P758)/O758*100,1),"")</f>
        <v/>
      </c>
    </row>
    <row r="759">
      <c r="Q759">
        <f>IF(AND(ISNUMBER(O759),ISNUMBER(P759),O759&gt;0),ROUND((O759-P759)/O759*100,1),"")</f>
        <v/>
      </c>
    </row>
    <row r="760">
      <c r="Q760">
        <f>IF(AND(ISNUMBER(O760),ISNUMBER(P760),O760&gt;0),ROUND((O760-P760)/O760*100,1),"")</f>
        <v/>
      </c>
    </row>
    <row r="761">
      <c r="Q761">
        <f>IF(AND(ISNUMBER(O761),ISNUMBER(P761),O761&gt;0),ROUND((O761-P761)/O761*100,1),"")</f>
        <v/>
      </c>
    </row>
    <row r="762">
      <c r="Q762">
        <f>IF(AND(ISNUMBER(O762),ISNUMBER(P762),O762&gt;0),ROUND((O762-P762)/O762*100,1),"")</f>
        <v/>
      </c>
    </row>
    <row r="763">
      <c r="Q763">
        <f>IF(AND(ISNUMBER(O763),ISNUMBER(P763),O763&gt;0),ROUND((O763-P763)/O763*100,1),"")</f>
        <v/>
      </c>
    </row>
    <row r="764">
      <c r="Q764">
        <f>IF(AND(ISNUMBER(O764),ISNUMBER(P764),O764&gt;0),ROUND((O764-P764)/O764*100,1),"")</f>
        <v/>
      </c>
    </row>
    <row r="765">
      <c r="Q765">
        <f>IF(AND(ISNUMBER(O765),ISNUMBER(P765),O765&gt;0),ROUND((O765-P765)/O765*100,1),"")</f>
        <v/>
      </c>
    </row>
    <row r="766">
      <c r="Q766">
        <f>IF(AND(ISNUMBER(O766),ISNUMBER(P766),O766&gt;0),ROUND((O766-P766)/O766*100,1),"")</f>
        <v/>
      </c>
    </row>
    <row r="767">
      <c r="Q767">
        <f>IF(AND(ISNUMBER(O767),ISNUMBER(P767),O767&gt;0),ROUND((O767-P767)/O767*100,1),"")</f>
        <v/>
      </c>
    </row>
    <row r="768">
      <c r="Q768">
        <f>IF(AND(ISNUMBER(O768),ISNUMBER(P768),O768&gt;0),ROUND((O768-P768)/O768*100,1),"")</f>
        <v/>
      </c>
    </row>
    <row r="769">
      <c r="Q769">
        <f>IF(AND(ISNUMBER(O769),ISNUMBER(P769),O769&gt;0),ROUND((O769-P769)/O769*100,1),"")</f>
        <v/>
      </c>
    </row>
    <row r="770">
      <c r="Q770">
        <f>IF(AND(ISNUMBER(O770),ISNUMBER(P770),O770&gt;0),ROUND((O770-P770)/O770*100,1),"")</f>
        <v/>
      </c>
    </row>
    <row r="771">
      <c r="Q771">
        <f>IF(AND(ISNUMBER(O771),ISNUMBER(P771),O771&gt;0),ROUND((O771-P771)/O771*100,1),"")</f>
        <v/>
      </c>
    </row>
    <row r="772">
      <c r="Q772">
        <f>IF(AND(ISNUMBER(O772),ISNUMBER(P772),O772&gt;0),ROUND((O772-P772)/O772*100,1),"")</f>
        <v/>
      </c>
    </row>
    <row r="773">
      <c r="Q773">
        <f>IF(AND(ISNUMBER(O773),ISNUMBER(P773),O773&gt;0),ROUND((O773-P773)/O773*100,1),"")</f>
        <v/>
      </c>
    </row>
    <row r="774">
      <c r="Q774">
        <f>IF(AND(ISNUMBER(O774),ISNUMBER(P774),O774&gt;0),ROUND((O774-P774)/O774*100,1),"")</f>
        <v/>
      </c>
    </row>
    <row r="775">
      <c r="Q775">
        <f>IF(AND(ISNUMBER(O775),ISNUMBER(P775),O775&gt;0),ROUND((O775-P775)/O775*100,1),"")</f>
        <v/>
      </c>
    </row>
    <row r="776">
      <c r="Q776">
        <f>IF(AND(ISNUMBER(O776),ISNUMBER(P776),O776&gt;0),ROUND((O776-P776)/O776*100,1),"")</f>
        <v/>
      </c>
    </row>
    <row r="777">
      <c r="Q777">
        <f>IF(AND(ISNUMBER(O777),ISNUMBER(P777),O777&gt;0),ROUND((O777-P777)/O777*100,1),"")</f>
        <v/>
      </c>
    </row>
    <row r="778">
      <c r="Q778">
        <f>IF(AND(ISNUMBER(O778),ISNUMBER(P778),O778&gt;0),ROUND((O778-P778)/O778*100,1),"")</f>
        <v/>
      </c>
    </row>
    <row r="779">
      <c r="Q779">
        <f>IF(AND(ISNUMBER(O779),ISNUMBER(P779),O779&gt;0),ROUND((O779-P779)/O779*100,1),"")</f>
        <v/>
      </c>
    </row>
    <row r="780">
      <c r="Q780">
        <f>IF(AND(ISNUMBER(O780),ISNUMBER(P780),O780&gt;0),ROUND((O780-P780)/O780*100,1),"")</f>
        <v/>
      </c>
    </row>
    <row r="781">
      <c r="Q781">
        <f>IF(AND(ISNUMBER(O781),ISNUMBER(P781),O781&gt;0),ROUND((O781-P781)/O781*100,1),"")</f>
        <v/>
      </c>
    </row>
    <row r="782">
      <c r="Q782">
        <f>IF(AND(ISNUMBER(O782),ISNUMBER(P782),O782&gt;0),ROUND((O782-P782)/O782*100,1),"")</f>
        <v/>
      </c>
    </row>
    <row r="783">
      <c r="Q783">
        <f>IF(AND(ISNUMBER(O783),ISNUMBER(P783),O783&gt;0),ROUND((O783-P783)/O783*100,1),"")</f>
        <v/>
      </c>
    </row>
    <row r="784">
      <c r="Q784">
        <f>IF(AND(ISNUMBER(O784),ISNUMBER(P784),O784&gt;0),ROUND((O784-P784)/O784*100,1),"")</f>
        <v/>
      </c>
    </row>
    <row r="785">
      <c r="Q785">
        <f>IF(AND(ISNUMBER(O785),ISNUMBER(P785),O785&gt;0),ROUND((O785-P785)/O785*100,1),"")</f>
        <v/>
      </c>
    </row>
    <row r="786">
      <c r="Q786">
        <f>IF(AND(ISNUMBER(O786),ISNUMBER(P786),O786&gt;0),ROUND((O786-P786)/O786*100,1),"")</f>
        <v/>
      </c>
    </row>
    <row r="787">
      <c r="Q787">
        <f>IF(AND(ISNUMBER(O787),ISNUMBER(P787),O787&gt;0),ROUND((O787-P787)/O787*100,1),"")</f>
        <v/>
      </c>
    </row>
    <row r="788">
      <c r="Q788">
        <f>IF(AND(ISNUMBER(O788),ISNUMBER(P788),O788&gt;0),ROUND((O788-P788)/O788*100,1),"")</f>
        <v/>
      </c>
    </row>
    <row r="789">
      <c r="Q789">
        <f>IF(AND(ISNUMBER(O789),ISNUMBER(P789),O789&gt;0),ROUND((O789-P789)/O789*100,1),"")</f>
        <v/>
      </c>
    </row>
    <row r="790">
      <c r="Q790">
        <f>IF(AND(ISNUMBER(O790),ISNUMBER(P790),O790&gt;0),ROUND((O790-P790)/O790*100,1),"")</f>
        <v/>
      </c>
    </row>
    <row r="791">
      <c r="Q791">
        <f>IF(AND(ISNUMBER(O791),ISNUMBER(P791),O791&gt;0),ROUND((O791-P791)/O791*100,1),"")</f>
        <v/>
      </c>
    </row>
    <row r="792">
      <c r="Q792">
        <f>IF(AND(ISNUMBER(O792),ISNUMBER(P792),O792&gt;0),ROUND((O792-P792)/O792*100,1),"")</f>
        <v/>
      </c>
    </row>
    <row r="793">
      <c r="Q793">
        <f>IF(AND(ISNUMBER(O793),ISNUMBER(P793),O793&gt;0),ROUND((O793-P793)/O793*100,1),"")</f>
        <v/>
      </c>
    </row>
    <row r="794">
      <c r="Q794">
        <f>IF(AND(ISNUMBER(O794),ISNUMBER(P794),O794&gt;0),ROUND((O794-P794)/O794*100,1),"")</f>
        <v/>
      </c>
    </row>
    <row r="795">
      <c r="Q795">
        <f>IF(AND(ISNUMBER(O795),ISNUMBER(P795),O795&gt;0),ROUND((O795-P795)/O795*100,1),"")</f>
        <v/>
      </c>
    </row>
    <row r="796">
      <c r="Q796">
        <f>IF(AND(ISNUMBER(O796),ISNUMBER(P796),O796&gt;0),ROUND((O796-P796)/O796*100,1),"")</f>
        <v/>
      </c>
    </row>
    <row r="797">
      <c r="Q797">
        <f>IF(AND(ISNUMBER(O797),ISNUMBER(P797),O797&gt;0),ROUND((O797-P797)/O797*100,1),"")</f>
        <v/>
      </c>
    </row>
    <row r="798">
      <c r="Q798">
        <f>IF(AND(ISNUMBER(O798),ISNUMBER(P798),O798&gt;0),ROUND((O798-P798)/O798*100,1),"")</f>
        <v/>
      </c>
    </row>
    <row r="799">
      <c r="Q799">
        <f>IF(AND(ISNUMBER(O799),ISNUMBER(P799),O799&gt;0),ROUND((O799-P799)/O799*100,1),"")</f>
        <v/>
      </c>
    </row>
    <row r="800">
      <c r="Q800">
        <f>IF(AND(ISNUMBER(O800),ISNUMBER(P800),O800&gt;0),ROUND((O800-P800)/O800*100,1),"")</f>
        <v/>
      </c>
    </row>
    <row r="801">
      <c r="Q801">
        <f>IF(AND(ISNUMBER(O801),ISNUMBER(P801),O801&gt;0),ROUND((O801-P801)/O801*100,1),"")</f>
        <v/>
      </c>
    </row>
    <row r="802">
      <c r="Q802">
        <f>IF(AND(ISNUMBER(O802),ISNUMBER(P802),O802&gt;0),ROUND((O802-P802)/O802*100,1),"")</f>
        <v/>
      </c>
    </row>
    <row r="803">
      <c r="Q803">
        <f>IF(AND(ISNUMBER(O803),ISNUMBER(P803),O803&gt;0),ROUND((O803-P803)/O803*100,1),"")</f>
        <v/>
      </c>
    </row>
    <row r="804">
      <c r="Q804">
        <f>IF(AND(ISNUMBER(O804),ISNUMBER(P804),O804&gt;0),ROUND((O804-P804)/O804*100,1),"")</f>
        <v/>
      </c>
    </row>
    <row r="805">
      <c r="Q805">
        <f>IF(AND(ISNUMBER(O805),ISNUMBER(P805),O805&gt;0),ROUND((O805-P805)/O805*100,1),"")</f>
        <v/>
      </c>
    </row>
    <row r="806">
      <c r="Q806">
        <f>IF(AND(ISNUMBER(O806),ISNUMBER(P806),O806&gt;0),ROUND((O806-P806)/O806*100,1),"")</f>
        <v/>
      </c>
    </row>
    <row r="807">
      <c r="Q807">
        <f>IF(AND(ISNUMBER(O807),ISNUMBER(P807),O807&gt;0),ROUND((O807-P807)/O807*100,1),"")</f>
        <v/>
      </c>
    </row>
    <row r="808">
      <c r="Q808">
        <f>IF(AND(ISNUMBER(O808),ISNUMBER(P808),O808&gt;0),ROUND((O808-P808)/O808*100,1),"")</f>
        <v/>
      </c>
    </row>
    <row r="809">
      <c r="Q809">
        <f>IF(AND(ISNUMBER(O809),ISNUMBER(P809),O809&gt;0),ROUND((O809-P809)/O809*100,1),"")</f>
        <v/>
      </c>
    </row>
    <row r="810">
      <c r="Q810">
        <f>IF(AND(ISNUMBER(O810),ISNUMBER(P810),O810&gt;0),ROUND((O810-P810)/O810*100,1),"")</f>
        <v/>
      </c>
    </row>
    <row r="811">
      <c r="Q811">
        <f>IF(AND(ISNUMBER(O811),ISNUMBER(P811),O811&gt;0),ROUND((O811-P811)/O811*100,1),"")</f>
        <v/>
      </c>
    </row>
    <row r="812">
      <c r="Q812">
        <f>IF(AND(ISNUMBER(O812),ISNUMBER(P812),O812&gt;0),ROUND((O812-P812)/O812*100,1),"")</f>
        <v/>
      </c>
    </row>
    <row r="813">
      <c r="Q813">
        <f>IF(AND(ISNUMBER(O813),ISNUMBER(P813),O813&gt;0),ROUND((O813-P813)/O813*100,1),"")</f>
        <v/>
      </c>
    </row>
    <row r="814">
      <c r="Q814">
        <f>IF(AND(ISNUMBER(O814),ISNUMBER(P814),O814&gt;0),ROUND((O814-P814)/O814*100,1),"")</f>
        <v/>
      </c>
    </row>
    <row r="815">
      <c r="Q815">
        <f>IF(AND(ISNUMBER(O815),ISNUMBER(P815),O815&gt;0),ROUND((O815-P815)/O815*100,1),"")</f>
        <v/>
      </c>
    </row>
    <row r="816">
      <c r="Q816">
        <f>IF(AND(ISNUMBER(O816),ISNUMBER(P816),O816&gt;0),ROUND((O816-P816)/O816*100,1),"")</f>
        <v/>
      </c>
    </row>
    <row r="817">
      <c r="Q817">
        <f>IF(AND(ISNUMBER(O817),ISNUMBER(P817),O817&gt;0),ROUND((O817-P817)/O817*100,1),"")</f>
        <v/>
      </c>
    </row>
    <row r="818">
      <c r="Q818">
        <f>IF(AND(ISNUMBER(O818),ISNUMBER(P818),O818&gt;0),ROUND((O818-P818)/O818*100,1),"")</f>
        <v/>
      </c>
    </row>
    <row r="819">
      <c r="Q819">
        <f>IF(AND(ISNUMBER(O819),ISNUMBER(P819),O819&gt;0),ROUND((O819-P819)/O819*100,1),"")</f>
        <v/>
      </c>
    </row>
    <row r="820">
      <c r="Q820">
        <f>IF(AND(ISNUMBER(O820),ISNUMBER(P820),O820&gt;0),ROUND((O820-P820)/O820*100,1),"")</f>
        <v/>
      </c>
    </row>
    <row r="821">
      <c r="Q821">
        <f>IF(AND(ISNUMBER(O821),ISNUMBER(P821),O821&gt;0),ROUND((O821-P821)/O821*100,1),"")</f>
        <v/>
      </c>
    </row>
    <row r="822">
      <c r="Q822">
        <f>IF(AND(ISNUMBER(O822),ISNUMBER(P822),O822&gt;0),ROUND((O822-P822)/O822*100,1),"")</f>
        <v/>
      </c>
    </row>
    <row r="823">
      <c r="Q823">
        <f>IF(AND(ISNUMBER(O823),ISNUMBER(P823),O823&gt;0),ROUND((O823-P823)/O823*100,1),"")</f>
        <v/>
      </c>
    </row>
    <row r="824">
      <c r="Q824">
        <f>IF(AND(ISNUMBER(O824),ISNUMBER(P824),O824&gt;0),ROUND((O824-P824)/O824*100,1),"")</f>
        <v/>
      </c>
    </row>
    <row r="825">
      <c r="Q825">
        <f>IF(AND(ISNUMBER(O825),ISNUMBER(P825),O825&gt;0),ROUND((O825-P825)/O825*100,1),"")</f>
        <v/>
      </c>
    </row>
    <row r="826">
      <c r="Q826">
        <f>IF(AND(ISNUMBER(O826),ISNUMBER(P826),O826&gt;0),ROUND((O826-P826)/O826*100,1),"")</f>
        <v/>
      </c>
    </row>
    <row r="827">
      <c r="Q827">
        <f>IF(AND(ISNUMBER(O827),ISNUMBER(P827),O827&gt;0),ROUND((O827-P827)/O827*100,1),"")</f>
        <v/>
      </c>
    </row>
    <row r="828">
      <c r="Q828">
        <f>IF(AND(ISNUMBER(O828),ISNUMBER(P828),O828&gt;0),ROUND((O828-P828)/O828*100,1),"")</f>
        <v/>
      </c>
    </row>
    <row r="829">
      <c r="Q829">
        <f>IF(AND(ISNUMBER(O829),ISNUMBER(P829),O829&gt;0),ROUND((O829-P829)/O829*100,1),"")</f>
        <v/>
      </c>
    </row>
    <row r="830">
      <c r="Q830">
        <f>IF(AND(ISNUMBER(O830),ISNUMBER(P830),O830&gt;0),ROUND((O830-P830)/O830*100,1),"")</f>
        <v/>
      </c>
    </row>
    <row r="831">
      <c r="Q831">
        <f>IF(AND(ISNUMBER(O831),ISNUMBER(P831),O831&gt;0),ROUND((O831-P831)/O831*100,1),"")</f>
        <v/>
      </c>
    </row>
    <row r="832">
      <c r="Q832">
        <f>IF(AND(ISNUMBER(O832),ISNUMBER(P832),O832&gt;0),ROUND((O832-P832)/O832*100,1),"")</f>
        <v/>
      </c>
    </row>
    <row r="833">
      <c r="Q833">
        <f>IF(AND(ISNUMBER(O833),ISNUMBER(P833),O833&gt;0),ROUND((O833-P833)/O833*100,1),"")</f>
        <v/>
      </c>
    </row>
    <row r="834">
      <c r="Q834">
        <f>IF(AND(ISNUMBER(O834),ISNUMBER(P834),O834&gt;0),ROUND((O834-P834)/O834*100,1),"")</f>
        <v/>
      </c>
    </row>
    <row r="835">
      <c r="Q835">
        <f>IF(AND(ISNUMBER(O835),ISNUMBER(P835),O835&gt;0),ROUND((O835-P835)/O835*100,1),"")</f>
        <v/>
      </c>
    </row>
    <row r="836">
      <c r="Q836">
        <f>IF(AND(ISNUMBER(O836),ISNUMBER(P836),O836&gt;0),ROUND((O836-P836)/O836*100,1),"")</f>
        <v/>
      </c>
    </row>
    <row r="837">
      <c r="Q837">
        <f>IF(AND(ISNUMBER(O837),ISNUMBER(P837),O837&gt;0),ROUND((O837-P837)/O837*100,1),"")</f>
        <v/>
      </c>
    </row>
    <row r="838">
      <c r="Q838">
        <f>IF(AND(ISNUMBER(O838),ISNUMBER(P838),O838&gt;0),ROUND((O838-P838)/O838*100,1),"")</f>
        <v/>
      </c>
    </row>
    <row r="839">
      <c r="Q839">
        <f>IF(AND(ISNUMBER(O839),ISNUMBER(P839),O839&gt;0),ROUND((O839-P839)/O839*100,1),"")</f>
        <v/>
      </c>
    </row>
    <row r="840">
      <c r="Q840">
        <f>IF(AND(ISNUMBER(O840),ISNUMBER(P840),O840&gt;0),ROUND((O840-P840)/O840*100,1),"")</f>
        <v/>
      </c>
    </row>
    <row r="841">
      <c r="Q841">
        <f>IF(AND(ISNUMBER(O841),ISNUMBER(P841),O841&gt;0),ROUND((O841-P841)/O841*100,1),"")</f>
        <v/>
      </c>
    </row>
    <row r="842">
      <c r="Q842">
        <f>IF(AND(ISNUMBER(O842),ISNUMBER(P842),O842&gt;0),ROUND((O842-P842)/O842*100,1),"")</f>
        <v/>
      </c>
    </row>
    <row r="843">
      <c r="Q843">
        <f>IF(AND(ISNUMBER(O843),ISNUMBER(P843),O843&gt;0),ROUND((O843-P843)/O843*100,1),"")</f>
        <v/>
      </c>
    </row>
    <row r="844">
      <c r="Q844">
        <f>IF(AND(ISNUMBER(O844),ISNUMBER(P844),O844&gt;0),ROUND((O844-P844)/O844*100,1),"")</f>
        <v/>
      </c>
    </row>
    <row r="845">
      <c r="Q845">
        <f>IF(AND(ISNUMBER(O845),ISNUMBER(P845),O845&gt;0),ROUND((O845-P845)/O845*100,1),"")</f>
        <v/>
      </c>
    </row>
    <row r="846">
      <c r="Q846">
        <f>IF(AND(ISNUMBER(O846),ISNUMBER(P846),O846&gt;0),ROUND((O846-P846)/O846*100,1),"")</f>
        <v/>
      </c>
    </row>
    <row r="847">
      <c r="Q847">
        <f>IF(AND(ISNUMBER(O847),ISNUMBER(P847),O847&gt;0),ROUND((O847-P847)/O847*100,1),"")</f>
        <v/>
      </c>
    </row>
    <row r="848">
      <c r="Q848">
        <f>IF(AND(ISNUMBER(O848),ISNUMBER(P848),O848&gt;0),ROUND((O848-P848)/O848*100,1),"")</f>
        <v/>
      </c>
    </row>
    <row r="849">
      <c r="Q849">
        <f>IF(AND(ISNUMBER(O849),ISNUMBER(P849),O849&gt;0),ROUND((O849-P849)/O849*100,1),"")</f>
        <v/>
      </c>
    </row>
    <row r="850">
      <c r="Q850">
        <f>IF(AND(ISNUMBER(O850),ISNUMBER(P850),O850&gt;0),ROUND((O850-P850)/O850*100,1),"")</f>
        <v/>
      </c>
    </row>
    <row r="851">
      <c r="Q851">
        <f>IF(AND(ISNUMBER(O851),ISNUMBER(P851),O851&gt;0),ROUND((O851-P851)/O851*100,1),"")</f>
        <v/>
      </c>
    </row>
    <row r="852">
      <c r="Q852">
        <f>IF(AND(ISNUMBER(O852),ISNUMBER(P852),O852&gt;0),ROUND((O852-P852)/O852*100,1),"")</f>
        <v/>
      </c>
    </row>
    <row r="853">
      <c r="Q853">
        <f>IF(AND(ISNUMBER(O853),ISNUMBER(P853),O853&gt;0),ROUND((O853-P853)/O853*100,1),"")</f>
        <v/>
      </c>
    </row>
    <row r="854">
      <c r="Q854">
        <f>IF(AND(ISNUMBER(O854),ISNUMBER(P854),O854&gt;0),ROUND((O854-P854)/O854*100,1),"")</f>
        <v/>
      </c>
    </row>
    <row r="855">
      <c r="Q855">
        <f>IF(AND(ISNUMBER(O855),ISNUMBER(P855),O855&gt;0),ROUND((O855-P855)/O855*100,1),"")</f>
        <v/>
      </c>
    </row>
    <row r="856">
      <c r="Q856">
        <f>IF(AND(ISNUMBER(O856),ISNUMBER(P856),O856&gt;0),ROUND((O856-P856)/O856*100,1),"")</f>
        <v/>
      </c>
    </row>
    <row r="857">
      <c r="Q857">
        <f>IF(AND(ISNUMBER(O857),ISNUMBER(P857),O857&gt;0),ROUND((O857-P857)/O857*100,1),"")</f>
        <v/>
      </c>
    </row>
    <row r="858">
      <c r="Q858">
        <f>IF(AND(ISNUMBER(O858),ISNUMBER(P858),O858&gt;0),ROUND((O858-P858)/O858*100,1),"")</f>
        <v/>
      </c>
    </row>
    <row r="859">
      <c r="Q859">
        <f>IF(AND(ISNUMBER(O859),ISNUMBER(P859),O859&gt;0),ROUND((O859-P859)/O859*100,1),"")</f>
        <v/>
      </c>
    </row>
    <row r="860">
      <c r="Q860">
        <f>IF(AND(ISNUMBER(O860),ISNUMBER(P860),O860&gt;0),ROUND((O860-P860)/O860*100,1),"")</f>
        <v/>
      </c>
    </row>
    <row r="861">
      <c r="Q861">
        <f>IF(AND(ISNUMBER(O861),ISNUMBER(P861),O861&gt;0),ROUND((O861-P861)/O861*100,1),"")</f>
        <v/>
      </c>
    </row>
    <row r="862">
      <c r="Q862">
        <f>IF(AND(ISNUMBER(O862),ISNUMBER(P862),O862&gt;0),ROUND((O862-P862)/O862*100,1),"")</f>
        <v/>
      </c>
    </row>
    <row r="863">
      <c r="Q863">
        <f>IF(AND(ISNUMBER(O863),ISNUMBER(P863),O863&gt;0),ROUND((O863-P863)/O863*100,1),"")</f>
        <v/>
      </c>
    </row>
    <row r="864">
      <c r="Q864">
        <f>IF(AND(ISNUMBER(O864),ISNUMBER(P864),O864&gt;0),ROUND((O864-P864)/O864*100,1),"")</f>
        <v/>
      </c>
    </row>
    <row r="865">
      <c r="Q865">
        <f>IF(AND(ISNUMBER(O865),ISNUMBER(P865),O865&gt;0),ROUND((O865-P865)/O865*100,1),"")</f>
        <v/>
      </c>
    </row>
    <row r="866">
      <c r="Q866">
        <f>IF(AND(ISNUMBER(O866),ISNUMBER(P866),O866&gt;0),ROUND((O866-P866)/O866*100,1),"")</f>
        <v/>
      </c>
    </row>
    <row r="867">
      <c r="Q867">
        <f>IF(AND(ISNUMBER(O867),ISNUMBER(P867),O867&gt;0),ROUND((O867-P867)/O867*100,1),"")</f>
        <v/>
      </c>
    </row>
    <row r="868">
      <c r="Q868">
        <f>IF(AND(ISNUMBER(O868),ISNUMBER(P868),O868&gt;0),ROUND((O868-P868)/O868*100,1),"")</f>
        <v/>
      </c>
    </row>
    <row r="869">
      <c r="Q869">
        <f>IF(AND(ISNUMBER(O869),ISNUMBER(P869),O869&gt;0),ROUND((O869-P869)/O869*100,1),"")</f>
        <v/>
      </c>
    </row>
    <row r="870">
      <c r="Q870">
        <f>IF(AND(ISNUMBER(O870),ISNUMBER(P870),O870&gt;0),ROUND((O870-P870)/O870*100,1),"")</f>
        <v/>
      </c>
    </row>
    <row r="871">
      <c r="Q871">
        <f>IF(AND(ISNUMBER(O871),ISNUMBER(P871),O871&gt;0),ROUND((O871-P871)/O871*100,1),"")</f>
        <v/>
      </c>
    </row>
    <row r="872">
      <c r="Q872">
        <f>IF(AND(ISNUMBER(O872),ISNUMBER(P872),O872&gt;0),ROUND((O872-P872)/O872*100,1),"")</f>
        <v/>
      </c>
    </row>
    <row r="873">
      <c r="Q873">
        <f>IF(AND(ISNUMBER(O873),ISNUMBER(P873),O873&gt;0),ROUND((O873-P873)/O873*100,1),"")</f>
        <v/>
      </c>
    </row>
    <row r="874">
      <c r="Q874">
        <f>IF(AND(ISNUMBER(O874),ISNUMBER(P874),O874&gt;0),ROUND((O874-P874)/O874*100,1),"")</f>
        <v/>
      </c>
    </row>
    <row r="875">
      <c r="Q875">
        <f>IF(AND(ISNUMBER(O875),ISNUMBER(P875),O875&gt;0),ROUND((O875-P875)/O875*100,1),"")</f>
        <v/>
      </c>
    </row>
    <row r="876">
      <c r="Q876">
        <f>IF(AND(ISNUMBER(O876),ISNUMBER(P876),O876&gt;0),ROUND((O876-P876)/O876*100,1),"")</f>
        <v/>
      </c>
    </row>
    <row r="877">
      <c r="Q877">
        <f>IF(AND(ISNUMBER(O877),ISNUMBER(P877),O877&gt;0),ROUND((O877-P877)/O877*100,1),"")</f>
        <v/>
      </c>
    </row>
    <row r="878">
      <c r="Q878">
        <f>IF(AND(ISNUMBER(O878),ISNUMBER(P878),O878&gt;0),ROUND((O878-P878)/O878*100,1),"")</f>
        <v/>
      </c>
    </row>
    <row r="879">
      <c r="Q879">
        <f>IF(AND(ISNUMBER(O879),ISNUMBER(P879),O879&gt;0),ROUND((O879-P879)/O879*100,1),"")</f>
        <v/>
      </c>
    </row>
    <row r="880">
      <c r="Q880">
        <f>IF(AND(ISNUMBER(O880),ISNUMBER(P880),O880&gt;0),ROUND((O880-P880)/O880*100,1),"")</f>
        <v/>
      </c>
    </row>
    <row r="881">
      <c r="Q881">
        <f>IF(AND(ISNUMBER(O881),ISNUMBER(P881),O881&gt;0),ROUND((O881-P881)/O881*100,1),"")</f>
        <v/>
      </c>
    </row>
    <row r="882">
      <c r="Q882">
        <f>IF(AND(ISNUMBER(O882),ISNUMBER(P882),O882&gt;0),ROUND((O882-P882)/O882*100,1),"")</f>
        <v/>
      </c>
    </row>
    <row r="883">
      <c r="Q883">
        <f>IF(AND(ISNUMBER(O883),ISNUMBER(P883),O883&gt;0),ROUND((O883-P883)/O883*100,1),"")</f>
        <v/>
      </c>
    </row>
    <row r="884">
      <c r="Q884">
        <f>IF(AND(ISNUMBER(O884),ISNUMBER(P884),O884&gt;0),ROUND((O884-P884)/O884*100,1),"")</f>
        <v/>
      </c>
    </row>
    <row r="885">
      <c r="Q885">
        <f>IF(AND(ISNUMBER(O885),ISNUMBER(P885),O885&gt;0),ROUND((O885-P885)/O885*100,1),"")</f>
        <v/>
      </c>
    </row>
    <row r="886">
      <c r="Q886">
        <f>IF(AND(ISNUMBER(O886),ISNUMBER(P886),O886&gt;0),ROUND((O886-P886)/O886*100,1),"")</f>
        <v/>
      </c>
    </row>
    <row r="887">
      <c r="Q887">
        <f>IF(AND(ISNUMBER(O887),ISNUMBER(P887),O887&gt;0),ROUND((O887-P887)/O887*100,1),"")</f>
        <v/>
      </c>
    </row>
    <row r="888">
      <c r="Q888">
        <f>IF(AND(ISNUMBER(O888),ISNUMBER(P888),O888&gt;0),ROUND((O888-P888)/O888*100,1),"")</f>
        <v/>
      </c>
    </row>
    <row r="889">
      <c r="Q889">
        <f>IF(AND(ISNUMBER(O889),ISNUMBER(P889),O889&gt;0),ROUND((O889-P889)/O889*100,1),"")</f>
        <v/>
      </c>
    </row>
    <row r="890">
      <c r="Q890">
        <f>IF(AND(ISNUMBER(O890),ISNUMBER(P890),O890&gt;0),ROUND((O890-P890)/O890*100,1),"")</f>
        <v/>
      </c>
    </row>
    <row r="891">
      <c r="Q891">
        <f>IF(AND(ISNUMBER(O891),ISNUMBER(P891),O891&gt;0),ROUND((O891-P891)/O891*100,1),"")</f>
        <v/>
      </c>
    </row>
    <row r="892">
      <c r="Q892">
        <f>IF(AND(ISNUMBER(O892),ISNUMBER(P892),O892&gt;0),ROUND((O892-P892)/O892*100,1),"")</f>
        <v/>
      </c>
    </row>
    <row r="893">
      <c r="Q893">
        <f>IF(AND(ISNUMBER(O893),ISNUMBER(P893),O893&gt;0),ROUND((O893-P893)/O893*100,1),"")</f>
        <v/>
      </c>
    </row>
    <row r="894">
      <c r="Q894">
        <f>IF(AND(ISNUMBER(O894),ISNUMBER(P894),O894&gt;0),ROUND((O894-P894)/O894*100,1),"")</f>
        <v/>
      </c>
    </row>
    <row r="895">
      <c r="Q895">
        <f>IF(AND(ISNUMBER(O895),ISNUMBER(P895),O895&gt;0),ROUND((O895-P895)/O895*100,1),"")</f>
        <v/>
      </c>
    </row>
    <row r="896">
      <c r="Q896">
        <f>IF(AND(ISNUMBER(O896),ISNUMBER(P896),O896&gt;0),ROUND((O896-P896)/O896*100,1),"")</f>
        <v/>
      </c>
    </row>
    <row r="897">
      <c r="Q897">
        <f>IF(AND(ISNUMBER(O897),ISNUMBER(P897),O897&gt;0),ROUND((O897-P897)/O897*100,1),"")</f>
        <v/>
      </c>
    </row>
    <row r="898">
      <c r="Q898">
        <f>IF(AND(ISNUMBER(O898),ISNUMBER(P898),O898&gt;0),ROUND((O898-P898)/O898*100,1),"")</f>
        <v/>
      </c>
    </row>
    <row r="899">
      <c r="Q899">
        <f>IF(AND(ISNUMBER(O899),ISNUMBER(P899),O899&gt;0),ROUND((O899-P899)/O899*100,1),"")</f>
        <v/>
      </c>
    </row>
    <row r="900">
      <c r="Q900">
        <f>IF(AND(ISNUMBER(O900),ISNUMBER(P900),O900&gt;0),ROUND((O900-P900)/O900*100,1),"")</f>
        <v/>
      </c>
    </row>
    <row r="901">
      <c r="Q901">
        <f>IF(AND(ISNUMBER(O901),ISNUMBER(P901),O901&gt;0),ROUND((O901-P901)/O901*100,1),"")</f>
        <v/>
      </c>
    </row>
    <row r="902">
      <c r="Q902">
        <f>IF(AND(ISNUMBER(O902),ISNUMBER(P902),O902&gt;0),ROUND((O902-P902)/O902*100,1),"")</f>
        <v/>
      </c>
    </row>
    <row r="903">
      <c r="Q903">
        <f>IF(AND(ISNUMBER(O903),ISNUMBER(P903),O903&gt;0),ROUND((O903-P903)/O903*100,1),"")</f>
        <v/>
      </c>
    </row>
    <row r="904">
      <c r="Q904">
        <f>IF(AND(ISNUMBER(O904),ISNUMBER(P904),O904&gt;0),ROUND((O904-P904)/O904*100,1),"")</f>
        <v/>
      </c>
    </row>
    <row r="905">
      <c r="Q905">
        <f>IF(AND(ISNUMBER(O905),ISNUMBER(P905),O905&gt;0),ROUND((O905-P905)/O905*100,1),"")</f>
        <v/>
      </c>
    </row>
    <row r="906">
      <c r="Q906">
        <f>IF(AND(ISNUMBER(O906),ISNUMBER(P906),O906&gt;0),ROUND((O906-P906)/O906*100,1),"")</f>
        <v/>
      </c>
    </row>
    <row r="907">
      <c r="Q907">
        <f>IF(AND(ISNUMBER(O907),ISNUMBER(P907),O907&gt;0),ROUND((O907-P907)/O907*100,1),"")</f>
        <v/>
      </c>
    </row>
    <row r="908">
      <c r="Q908">
        <f>IF(AND(ISNUMBER(O908),ISNUMBER(P908),O908&gt;0),ROUND((O908-P908)/O908*100,1),"")</f>
        <v/>
      </c>
    </row>
    <row r="909">
      <c r="Q909">
        <f>IF(AND(ISNUMBER(O909),ISNUMBER(P909),O909&gt;0),ROUND((O909-P909)/O909*100,1),"")</f>
        <v/>
      </c>
    </row>
    <row r="910">
      <c r="Q910">
        <f>IF(AND(ISNUMBER(O910),ISNUMBER(P910),O910&gt;0),ROUND((O910-P910)/O910*100,1),"")</f>
        <v/>
      </c>
    </row>
    <row r="911">
      <c r="Q911">
        <f>IF(AND(ISNUMBER(O911),ISNUMBER(P911),O911&gt;0),ROUND((O911-P911)/O911*100,1),"")</f>
        <v/>
      </c>
    </row>
    <row r="912">
      <c r="Q912">
        <f>IF(AND(ISNUMBER(O912),ISNUMBER(P912),O912&gt;0),ROUND((O912-P912)/O912*100,1),"")</f>
        <v/>
      </c>
    </row>
    <row r="913">
      <c r="Q913">
        <f>IF(AND(ISNUMBER(O913),ISNUMBER(P913),O913&gt;0),ROUND((O913-P913)/O913*100,1),"")</f>
        <v/>
      </c>
    </row>
    <row r="914">
      <c r="Q914">
        <f>IF(AND(ISNUMBER(O914),ISNUMBER(P914),O914&gt;0),ROUND((O914-P914)/O914*100,1),"")</f>
        <v/>
      </c>
    </row>
    <row r="915">
      <c r="Q915">
        <f>IF(AND(ISNUMBER(O915),ISNUMBER(P915),O915&gt;0),ROUND((O915-P915)/O915*100,1),"")</f>
        <v/>
      </c>
    </row>
    <row r="916">
      <c r="Q916">
        <f>IF(AND(ISNUMBER(O916),ISNUMBER(P916),O916&gt;0),ROUND((O916-P916)/O916*100,1),"")</f>
        <v/>
      </c>
    </row>
    <row r="917">
      <c r="Q917">
        <f>IF(AND(ISNUMBER(O917),ISNUMBER(P917),O917&gt;0),ROUND((O917-P917)/O917*100,1),"")</f>
        <v/>
      </c>
    </row>
    <row r="918">
      <c r="Q918">
        <f>IF(AND(ISNUMBER(O918),ISNUMBER(P918),O918&gt;0),ROUND((O918-P918)/O918*100,1),"")</f>
        <v/>
      </c>
    </row>
    <row r="919">
      <c r="Q919">
        <f>IF(AND(ISNUMBER(O919),ISNUMBER(P919),O919&gt;0),ROUND((O919-P919)/O919*100,1),"")</f>
        <v/>
      </c>
    </row>
    <row r="920">
      <c r="Q920">
        <f>IF(AND(ISNUMBER(O920),ISNUMBER(P920),O920&gt;0),ROUND((O920-P920)/O920*100,1),"")</f>
        <v/>
      </c>
    </row>
    <row r="921">
      <c r="Q921">
        <f>IF(AND(ISNUMBER(O921),ISNUMBER(P921),O921&gt;0),ROUND((O921-P921)/O921*100,1),"")</f>
        <v/>
      </c>
    </row>
    <row r="922">
      <c r="Q922">
        <f>IF(AND(ISNUMBER(O922),ISNUMBER(P922),O922&gt;0),ROUND((O922-P922)/O922*100,1),"")</f>
        <v/>
      </c>
    </row>
    <row r="923">
      <c r="Q923">
        <f>IF(AND(ISNUMBER(O923),ISNUMBER(P923),O923&gt;0),ROUND((O923-P923)/O923*100,1),"")</f>
        <v/>
      </c>
    </row>
    <row r="924">
      <c r="Q924">
        <f>IF(AND(ISNUMBER(O924),ISNUMBER(P924),O924&gt;0),ROUND((O924-P924)/O924*100,1),"")</f>
        <v/>
      </c>
    </row>
    <row r="925">
      <c r="Q925">
        <f>IF(AND(ISNUMBER(O925),ISNUMBER(P925),O925&gt;0),ROUND((O925-P925)/O925*100,1),"")</f>
        <v/>
      </c>
    </row>
    <row r="926">
      <c r="Q926">
        <f>IF(AND(ISNUMBER(O926),ISNUMBER(P926),O926&gt;0),ROUND((O926-P926)/O926*100,1),"")</f>
        <v/>
      </c>
    </row>
    <row r="927">
      <c r="Q927">
        <f>IF(AND(ISNUMBER(O927),ISNUMBER(P927),O927&gt;0),ROUND((O927-P927)/O927*100,1),"")</f>
        <v/>
      </c>
    </row>
    <row r="928">
      <c r="Q928">
        <f>IF(AND(ISNUMBER(O928),ISNUMBER(P928),O928&gt;0),ROUND((O928-P928)/O928*100,1),"")</f>
        <v/>
      </c>
    </row>
    <row r="929">
      <c r="Q929">
        <f>IF(AND(ISNUMBER(O929),ISNUMBER(P929),O929&gt;0),ROUND((O929-P929)/O929*100,1),"")</f>
        <v/>
      </c>
    </row>
    <row r="930">
      <c r="Q930">
        <f>IF(AND(ISNUMBER(O930),ISNUMBER(P930),O930&gt;0),ROUND((O930-P930)/O930*100,1),"")</f>
        <v/>
      </c>
    </row>
    <row r="931">
      <c r="Q931">
        <f>IF(AND(ISNUMBER(O931),ISNUMBER(P931),O931&gt;0),ROUND((O931-P931)/O931*100,1),"")</f>
        <v/>
      </c>
    </row>
    <row r="932">
      <c r="Q932">
        <f>IF(AND(ISNUMBER(O932),ISNUMBER(P932),O932&gt;0),ROUND((O932-P932)/O932*100,1),"")</f>
        <v/>
      </c>
    </row>
    <row r="933">
      <c r="Q933">
        <f>IF(AND(ISNUMBER(O933),ISNUMBER(P933),O933&gt;0),ROUND((O933-P933)/O933*100,1),"")</f>
        <v/>
      </c>
    </row>
    <row r="934">
      <c r="Q934">
        <f>IF(AND(ISNUMBER(O934),ISNUMBER(P934),O934&gt;0),ROUND((O934-P934)/O934*100,1),"")</f>
        <v/>
      </c>
    </row>
    <row r="935">
      <c r="Q935">
        <f>IF(AND(ISNUMBER(O935),ISNUMBER(P935),O935&gt;0),ROUND((O935-P935)/O935*100,1),"")</f>
        <v/>
      </c>
    </row>
    <row r="936">
      <c r="Q936">
        <f>IF(AND(ISNUMBER(O936),ISNUMBER(P936),O936&gt;0),ROUND((O936-P936)/O936*100,1),"")</f>
        <v/>
      </c>
    </row>
    <row r="937">
      <c r="Q937">
        <f>IF(AND(ISNUMBER(O937),ISNUMBER(P937),O937&gt;0),ROUND((O937-P937)/O937*100,1),"")</f>
        <v/>
      </c>
    </row>
    <row r="938">
      <c r="Q938">
        <f>IF(AND(ISNUMBER(O938),ISNUMBER(P938),O938&gt;0),ROUND((O938-P938)/O938*100,1),"")</f>
        <v/>
      </c>
    </row>
    <row r="939">
      <c r="Q939">
        <f>IF(AND(ISNUMBER(O939),ISNUMBER(P939),O939&gt;0),ROUND((O939-P939)/O939*100,1),"")</f>
        <v/>
      </c>
    </row>
    <row r="940">
      <c r="Q940">
        <f>IF(AND(ISNUMBER(O940),ISNUMBER(P940),O940&gt;0),ROUND((O940-P940)/O940*100,1),"")</f>
        <v/>
      </c>
    </row>
    <row r="941">
      <c r="Q941">
        <f>IF(AND(ISNUMBER(O941),ISNUMBER(P941),O941&gt;0),ROUND((O941-P941)/O941*100,1),"")</f>
        <v/>
      </c>
    </row>
    <row r="942">
      <c r="Q942">
        <f>IF(AND(ISNUMBER(O942),ISNUMBER(P942),O942&gt;0),ROUND((O942-P942)/O942*100,1),"")</f>
        <v/>
      </c>
    </row>
    <row r="943">
      <c r="Q943">
        <f>IF(AND(ISNUMBER(O943),ISNUMBER(P943),O943&gt;0),ROUND((O943-P943)/O943*100,1),"")</f>
        <v/>
      </c>
    </row>
    <row r="944">
      <c r="Q944">
        <f>IF(AND(ISNUMBER(O944),ISNUMBER(P944),O944&gt;0),ROUND((O944-P944)/O944*100,1),"")</f>
        <v/>
      </c>
    </row>
    <row r="945">
      <c r="Q945">
        <f>IF(AND(ISNUMBER(O945),ISNUMBER(P945),O945&gt;0),ROUND((O945-P945)/O945*100,1),"")</f>
        <v/>
      </c>
    </row>
    <row r="946">
      <c r="Q946">
        <f>IF(AND(ISNUMBER(O946),ISNUMBER(P946),O946&gt;0),ROUND((O946-P946)/O946*100,1),"")</f>
        <v/>
      </c>
    </row>
    <row r="947">
      <c r="Q947">
        <f>IF(AND(ISNUMBER(O947),ISNUMBER(P947),O947&gt;0),ROUND((O947-P947)/O947*100,1),"")</f>
        <v/>
      </c>
    </row>
    <row r="948">
      <c r="Q948">
        <f>IF(AND(ISNUMBER(O948),ISNUMBER(P948),O948&gt;0),ROUND((O948-P948)/O948*100,1),"")</f>
        <v/>
      </c>
    </row>
    <row r="949">
      <c r="Q949">
        <f>IF(AND(ISNUMBER(O949),ISNUMBER(P949),O949&gt;0),ROUND((O949-P949)/O949*100,1),"")</f>
        <v/>
      </c>
    </row>
    <row r="950">
      <c r="Q950">
        <f>IF(AND(ISNUMBER(O950),ISNUMBER(P950),O950&gt;0),ROUND((O950-P950)/O950*100,1),"")</f>
        <v/>
      </c>
    </row>
    <row r="951">
      <c r="Q951">
        <f>IF(AND(ISNUMBER(O951),ISNUMBER(P951),O951&gt;0),ROUND((O951-P951)/O951*100,1),"")</f>
        <v/>
      </c>
    </row>
    <row r="952">
      <c r="Q952">
        <f>IF(AND(ISNUMBER(O952),ISNUMBER(P952),O952&gt;0),ROUND((O952-P952)/O952*100,1),"")</f>
        <v/>
      </c>
    </row>
    <row r="953">
      <c r="Q953">
        <f>IF(AND(ISNUMBER(O953),ISNUMBER(P953),O953&gt;0),ROUND((O953-P953)/O953*100,1),"")</f>
        <v/>
      </c>
    </row>
    <row r="954">
      <c r="Q954">
        <f>IF(AND(ISNUMBER(O954),ISNUMBER(P954),O954&gt;0),ROUND((O954-P954)/O954*100,1),"")</f>
        <v/>
      </c>
    </row>
    <row r="955">
      <c r="Q955">
        <f>IF(AND(ISNUMBER(O955),ISNUMBER(P955),O955&gt;0),ROUND((O955-P955)/O955*100,1),"")</f>
        <v/>
      </c>
    </row>
    <row r="956">
      <c r="Q956">
        <f>IF(AND(ISNUMBER(O956),ISNUMBER(P956),O956&gt;0),ROUND((O956-P956)/O956*100,1),"")</f>
        <v/>
      </c>
    </row>
    <row r="957">
      <c r="Q957">
        <f>IF(AND(ISNUMBER(O957),ISNUMBER(P957),O957&gt;0),ROUND((O957-P957)/O957*100,1),"")</f>
        <v/>
      </c>
    </row>
    <row r="958">
      <c r="Q958">
        <f>IF(AND(ISNUMBER(O958),ISNUMBER(P958),O958&gt;0),ROUND((O958-P958)/O958*100,1),"")</f>
        <v/>
      </c>
    </row>
    <row r="959">
      <c r="Q959">
        <f>IF(AND(ISNUMBER(O959),ISNUMBER(P959),O959&gt;0),ROUND((O959-P959)/O959*100,1),"")</f>
        <v/>
      </c>
    </row>
    <row r="960">
      <c r="Q960">
        <f>IF(AND(ISNUMBER(O960),ISNUMBER(P960),O960&gt;0),ROUND((O960-P960)/O960*100,1),"")</f>
        <v/>
      </c>
    </row>
    <row r="961">
      <c r="Q961">
        <f>IF(AND(ISNUMBER(O961),ISNUMBER(P961),O961&gt;0),ROUND((O961-P961)/O961*100,1),"")</f>
        <v/>
      </c>
    </row>
    <row r="962">
      <c r="Q962">
        <f>IF(AND(ISNUMBER(O962),ISNUMBER(P962),O962&gt;0),ROUND((O962-P962)/O962*100,1),"")</f>
        <v/>
      </c>
    </row>
    <row r="963">
      <c r="Q963">
        <f>IF(AND(ISNUMBER(O963),ISNUMBER(P963),O963&gt;0),ROUND((O963-P963)/O963*100,1),"")</f>
        <v/>
      </c>
    </row>
    <row r="964">
      <c r="Q964">
        <f>IF(AND(ISNUMBER(O964),ISNUMBER(P964),O964&gt;0),ROUND((O964-P964)/O964*100,1),"")</f>
        <v/>
      </c>
    </row>
    <row r="965">
      <c r="Q965">
        <f>IF(AND(ISNUMBER(O965),ISNUMBER(P965),O965&gt;0),ROUND((O965-P965)/O965*100,1),"")</f>
        <v/>
      </c>
    </row>
    <row r="966">
      <c r="Q966">
        <f>IF(AND(ISNUMBER(O966),ISNUMBER(P966),O966&gt;0),ROUND((O966-P966)/O966*100,1),"")</f>
        <v/>
      </c>
    </row>
    <row r="967">
      <c r="Q967">
        <f>IF(AND(ISNUMBER(O967),ISNUMBER(P967),O967&gt;0),ROUND((O967-P967)/O967*100,1),"")</f>
        <v/>
      </c>
    </row>
    <row r="968">
      <c r="Q968">
        <f>IF(AND(ISNUMBER(O968),ISNUMBER(P968),O968&gt;0),ROUND((O968-P968)/O968*100,1),"")</f>
        <v/>
      </c>
    </row>
    <row r="969">
      <c r="Q969">
        <f>IF(AND(ISNUMBER(O969),ISNUMBER(P969),O969&gt;0),ROUND((O969-P969)/O969*100,1),"")</f>
        <v/>
      </c>
    </row>
    <row r="970">
      <c r="Q970">
        <f>IF(AND(ISNUMBER(O970),ISNUMBER(P970),O970&gt;0),ROUND((O970-P970)/O970*100,1),"")</f>
        <v/>
      </c>
    </row>
    <row r="971">
      <c r="Q971">
        <f>IF(AND(ISNUMBER(O971),ISNUMBER(P971),O971&gt;0),ROUND((O971-P971)/O971*100,1),"")</f>
        <v/>
      </c>
    </row>
    <row r="972">
      <c r="Q972">
        <f>IF(AND(ISNUMBER(O972),ISNUMBER(P972),O972&gt;0),ROUND((O972-P972)/O972*100,1),"")</f>
        <v/>
      </c>
    </row>
    <row r="973">
      <c r="Q973">
        <f>IF(AND(ISNUMBER(O973),ISNUMBER(P973),O973&gt;0),ROUND((O973-P973)/O973*100,1),"")</f>
        <v/>
      </c>
    </row>
    <row r="974">
      <c r="Q974">
        <f>IF(AND(ISNUMBER(O974),ISNUMBER(P974),O974&gt;0),ROUND((O974-P974)/O974*100,1),"")</f>
        <v/>
      </c>
    </row>
    <row r="975">
      <c r="Q975">
        <f>IF(AND(ISNUMBER(O975),ISNUMBER(P975),O975&gt;0),ROUND((O975-P975)/O975*100,1),"")</f>
        <v/>
      </c>
    </row>
    <row r="976">
      <c r="Q976">
        <f>IF(AND(ISNUMBER(O976),ISNUMBER(P976),O976&gt;0),ROUND((O976-P976)/O976*100,1),"")</f>
        <v/>
      </c>
    </row>
    <row r="977">
      <c r="Q977">
        <f>IF(AND(ISNUMBER(O977),ISNUMBER(P977),O977&gt;0),ROUND((O977-P977)/O977*100,1),"")</f>
        <v/>
      </c>
    </row>
    <row r="978">
      <c r="Q978">
        <f>IF(AND(ISNUMBER(O978),ISNUMBER(P978),O978&gt;0),ROUND((O978-P978)/O978*100,1),"")</f>
        <v/>
      </c>
    </row>
    <row r="979">
      <c r="Q979">
        <f>IF(AND(ISNUMBER(O979),ISNUMBER(P979),O979&gt;0),ROUND((O979-P979)/O979*100,1),"")</f>
        <v/>
      </c>
    </row>
    <row r="980">
      <c r="Q980">
        <f>IF(AND(ISNUMBER(O980),ISNUMBER(P980),O980&gt;0),ROUND((O980-P980)/O980*100,1),"")</f>
        <v/>
      </c>
    </row>
    <row r="981">
      <c r="Q981">
        <f>IF(AND(ISNUMBER(O981),ISNUMBER(P981),O981&gt;0),ROUND((O981-P981)/O981*100,1),"")</f>
        <v/>
      </c>
    </row>
    <row r="982">
      <c r="Q982">
        <f>IF(AND(ISNUMBER(O982),ISNUMBER(P982),O982&gt;0),ROUND((O982-P982)/O982*100,1),"")</f>
        <v/>
      </c>
    </row>
    <row r="983">
      <c r="Q983">
        <f>IF(AND(ISNUMBER(O983),ISNUMBER(P983),O983&gt;0),ROUND((O983-P983)/O983*100,1),"")</f>
        <v/>
      </c>
    </row>
    <row r="984">
      <c r="Q984">
        <f>IF(AND(ISNUMBER(O984),ISNUMBER(P984),O984&gt;0),ROUND((O984-P984)/O984*100,1),"")</f>
        <v/>
      </c>
    </row>
    <row r="985">
      <c r="Q985">
        <f>IF(AND(ISNUMBER(O985),ISNUMBER(P985),O985&gt;0),ROUND((O985-P985)/O985*100,1),"")</f>
        <v/>
      </c>
    </row>
    <row r="986">
      <c r="Q986">
        <f>IF(AND(ISNUMBER(O986),ISNUMBER(P986),O986&gt;0),ROUND((O986-P986)/O986*100,1),"")</f>
        <v/>
      </c>
    </row>
    <row r="987">
      <c r="Q987">
        <f>IF(AND(ISNUMBER(O987),ISNUMBER(P987),O987&gt;0),ROUND((O987-P987)/O987*100,1),"")</f>
        <v/>
      </c>
    </row>
    <row r="988">
      <c r="Q988">
        <f>IF(AND(ISNUMBER(O988),ISNUMBER(P988),O988&gt;0),ROUND((O988-P988)/O988*100,1),"")</f>
        <v/>
      </c>
    </row>
    <row r="989">
      <c r="Q989">
        <f>IF(AND(ISNUMBER(O989),ISNUMBER(P989),O989&gt;0),ROUND((O989-P989)/O989*100,1),"")</f>
        <v/>
      </c>
    </row>
    <row r="990">
      <c r="Q990">
        <f>IF(AND(ISNUMBER(O990),ISNUMBER(P990),O990&gt;0),ROUND((O990-P990)/O990*100,1),"")</f>
        <v/>
      </c>
    </row>
    <row r="991">
      <c r="Q991">
        <f>IF(AND(ISNUMBER(O991),ISNUMBER(P991),O991&gt;0),ROUND((O991-P991)/O991*100,1),"")</f>
        <v/>
      </c>
    </row>
    <row r="992">
      <c r="Q992">
        <f>IF(AND(ISNUMBER(O992),ISNUMBER(P992),O992&gt;0),ROUND((O992-P992)/O992*100,1),"")</f>
        <v/>
      </c>
    </row>
    <row r="993">
      <c r="Q993">
        <f>IF(AND(ISNUMBER(O993),ISNUMBER(P993),O993&gt;0),ROUND((O993-P993)/O993*100,1),"")</f>
        <v/>
      </c>
    </row>
    <row r="994">
      <c r="Q994">
        <f>IF(AND(ISNUMBER(O994),ISNUMBER(P994),O994&gt;0),ROUND((O994-P994)/O994*100,1),"")</f>
        <v/>
      </c>
    </row>
    <row r="995">
      <c r="Q995">
        <f>IF(AND(ISNUMBER(O995),ISNUMBER(P995),O995&gt;0),ROUND((O995-P995)/O995*100,1),"")</f>
        <v/>
      </c>
    </row>
    <row r="996">
      <c r="Q996">
        <f>IF(AND(ISNUMBER(O996),ISNUMBER(P996),O996&gt;0),ROUND((O996-P996)/O996*100,1),"")</f>
        <v/>
      </c>
    </row>
    <row r="997">
      <c r="Q997">
        <f>IF(AND(ISNUMBER(O997),ISNUMBER(P997),O997&gt;0),ROUND((O997-P997)/O997*100,1),"")</f>
        <v/>
      </c>
    </row>
    <row r="998">
      <c r="Q998">
        <f>IF(AND(ISNUMBER(O998),ISNUMBER(P998),O998&gt;0),ROUND((O998-P998)/O998*100,1),"")</f>
        <v/>
      </c>
    </row>
    <row r="999">
      <c r="Q999">
        <f>IF(AND(ISNUMBER(O999),ISNUMBER(P999),O999&gt;0),ROUND((O999-P999)/O999*100,1),"")</f>
        <v/>
      </c>
    </row>
    <row r="1000">
      <c r="Q1000">
        <f>IF(AND(ISNUMBER(O1000),ISNUMBER(P1000),O1000&gt;0),ROUND((O1000-P1000)/O1000*100,1),"")</f>
        <v/>
      </c>
    </row>
    <row r="1001">
      <c r="Q1001">
        <f>IF(AND(ISNUMBER(O1001),ISNUMBER(P1001),O1001&gt;0),ROUND((O1001-P1001)/O1001*100,1),"")</f>
        <v/>
      </c>
    </row>
    <row r="1002">
      <c r="Q1002">
        <f>IF(AND(ISNUMBER(O1002),ISNUMBER(P1002),O1002&gt;0),ROUND((O1002-P1002)/O1002*100,1),"")</f>
        <v/>
      </c>
    </row>
    <row r="1003">
      <c r="Q1003">
        <f>IF(AND(ISNUMBER(O1003),ISNUMBER(P1003),O1003&gt;0),ROUND((O1003-P1003)/O1003*100,1),"")</f>
        <v/>
      </c>
    </row>
    <row r="1004">
      <c r="Q1004">
        <f>IF(AND(ISNUMBER(O1004),ISNUMBER(P1004),O1004&gt;0),ROUND((O1004-P1004)/O1004*100,1),"")</f>
        <v/>
      </c>
    </row>
    <row r="1005">
      <c r="Q1005">
        <f>IF(AND(ISNUMBER(O1005),ISNUMBER(P1005),O1005&gt;0),ROUND((O1005-P1005)/O1005*100,1),"")</f>
        <v/>
      </c>
    </row>
    <row r="1006">
      <c r="Q1006">
        <f>IF(AND(ISNUMBER(O1006),ISNUMBER(P1006),O1006&gt;0),ROUND((O1006-P1006)/O1006*100,1),"")</f>
        <v/>
      </c>
    </row>
    <row r="1007">
      <c r="Q1007">
        <f>IF(AND(ISNUMBER(O1007),ISNUMBER(P1007),O1007&gt;0),ROUND((O1007-P1007)/O1007*100,1),"")</f>
        <v/>
      </c>
    </row>
    <row r="1008">
      <c r="Q1008">
        <f>IF(AND(ISNUMBER(O1008),ISNUMBER(P1008),O1008&gt;0),ROUND((O1008-P1008)/O1008*100,1),"")</f>
        <v/>
      </c>
    </row>
    <row r="1009">
      <c r="Q1009">
        <f>IF(AND(ISNUMBER(O1009),ISNUMBER(P1009),O1009&gt;0),ROUND((O1009-P1009)/O1009*100,1),"")</f>
        <v/>
      </c>
    </row>
    <row r="1010">
      <c r="Q1010">
        <f>IF(AND(ISNUMBER(O1010),ISNUMBER(P1010),O1010&gt;0),ROUND((O1010-P1010)/O1010*100,1),"")</f>
        <v/>
      </c>
    </row>
    <row r="1011">
      <c r="Q1011">
        <f>IF(AND(ISNUMBER(O1011),ISNUMBER(P1011),O1011&gt;0),ROUND((O1011-P1011)/O1011*100,1),"")</f>
        <v/>
      </c>
    </row>
    <row r="1012">
      <c r="Q1012">
        <f>IF(AND(ISNUMBER(O1012),ISNUMBER(P1012),O1012&gt;0),ROUND((O1012-P1012)/O1012*100,1),"")</f>
        <v/>
      </c>
    </row>
    <row r="1013">
      <c r="Q1013">
        <f>IF(AND(ISNUMBER(O1013),ISNUMBER(P1013),O1013&gt;0),ROUND((O1013-P1013)/O1013*100,1),"")</f>
        <v/>
      </c>
    </row>
    <row r="1014">
      <c r="Q1014">
        <f>IF(AND(ISNUMBER(O1014),ISNUMBER(P1014),O1014&gt;0),ROUND((O1014-P1014)/O1014*100,1),"")</f>
        <v/>
      </c>
    </row>
    <row r="1015">
      <c r="Q1015">
        <f>IF(AND(ISNUMBER(O1015),ISNUMBER(P1015),O1015&gt;0),ROUND((O1015-P1015)/O1015*100,1),"")</f>
        <v/>
      </c>
    </row>
    <row r="1016">
      <c r="Q1016">
        <f>IF(AND(ISNUMBER(O1016),ISNUMBER(P1016),O1016&gt;0),ROUND((O1016-P1016)/O1016*100,1),"")</f>
        <v/>
      </c>
    </row>
    <row r="1017">
      <c r="Q1017">
        <f>IF(AND(ISNUMBER(O1017),ISNUMBER(P1017),O1017&gt;0),ROUND((O1017-P1017)/O1017*100,1),"")</f>
        <v/>
      </c>
    </row>
    <row r="1018">
      <c r="Q1018">
        <f>IF(AND(ISNUMBER(O1018),ISNUMBER(P1018),O1018&gt;0),ROUND((O1018-P1018)/O1018*100,1),"")</f>
        <v/>
      </c>
    </row>
    <row r="1019">
      <c r="Q1019">
        <f>IF(AND(ISNUMBER(O1019),ISNUMBER(P1019),O1019&gt;0),ROUND((O1019-P1019)/O1019*100,1),"")</f>
        <v/>
      </c>
    </row>
    <row r="1020">
      <c r="Q1020">
        <f>IF(AND(ISNUMBER(O1020),ISNUMBER(P1020),O1020&gt;0),ROUND((O1020-P1020)/O1020*100,1),"")</f>
        <v/>
      </c>
    </row>
    <row r="1021">
      <c r="Q1021">
        <f>IF(AND(ISNUMBER(O1021),ISNUMBER(P1021),O1021&gt;0),ROUND((O1021-P1021)/O1021*100,1),"")</f>
        <v/>
      </c>
    </row>
    <row r="1022">
      <c r="Q1022">
        <f>IF(AND(ISNUMBER(O1022),ISNUMBER(P1022),O1022&gt;0),ROUND((O1022-P1022)/O1022*100,1),"")</f>
        <v/>
      </c>
    </row>
    <row r="1023">
      <c r="Q1023">
        <f>IF(AND(ISNUMBER(O1023),ISNUMBER(P1023),O1023&gt;0),ROUND((O1023-P1023)/O1023*100,1),"")</f>
        <v/>
      </c>
    </row>
    <row r="1024">
      <c r="Q1024">
        <f>IF(AND(ISNUMBER(O1024),ISNUMBER(P1024),O1024&gt;0),ROUND((O1024-P1024)/O1024*100,1),"")</f>
        <v/>
      </c>
    </row>
    <row r="1025">
      <c r="Q1025">
        <f>IF(AND(ISNUMBER(O1025),ISNUMBER(P1025),O1025&gt;0),ROUND((O1025-P1025)/O1025*100,1),"")</f>
        <v/>
      </c>
    </row>
    <row r="1026">
      <c r="Q1026">
        <f>IF(AND(ISNUMBER(O1026),ISNUMBER(P1026),O1026&gt;0),ROUND((O1026-P1026)/O1026*100,1),"")</f>
        <v/>
      </c>
    </row>
    <row r="1027">
      <c r="Q1027">
        <f>IF(AND(ISNUMBER(O1027),ISNUMBER(P1027),O1027&gt;0),ROUND((O1027-P1027)/O1027*100,1),"")</f>
        <v/>
      </c>
    </row>
    <row r="1028">
      <c r="Q1028">
        <f>IF(AND(ISNUMBER(O1028),ISNUMBER(P1028),O1028&gt;0),ROUND((O1028-P1028)/O1028*100,1),"")</f>
        <v/>
      </c>
    </row>
    <row r="1029">
      <c r="Q1029">
        <f>IF(AND(ISNUMBER(O1029),ISNUMBER(P1029),O1029&gt;0),ROUND((O1029-P1029)/O1029*100,1),"")</f>
        <v/>
      </c>
    </row>
    <row r="1030">
      <c r="Q1030">
        <f>IF(AND(ISNUMBER(O1030),ISNUMBER(P1030),O1030&gt;0),ROUND((O1030-P1030)/O1030*100,1),"")</f>
        <v/>
      </c>
    </row>
    <row r="1031">
      <c r="Q1031">
        <f>IF(AND(ISNUMBER(O1031),ISNUMBER(P1031),O1031&gt;0),ROUND((O1031-P1031)/O1031*100,1),"")</f>
        <v/>
      </c>
    </row>
    <row r="1032">
      <c r="Q1032">
        <f>IF(AND(ISNUMBER(O1032),ISNUMBER(P1032),O1032&gt;0),ROUND((O1032-P1032)/O1032*100,1),"")</f>
        <v/>
      </c>
    </row>
    <row r="1033">
      <c r="Q1033">
        <f>IF(AND(ISNUMBER(O1033),ISNUMBER(P1033),O1033&gt;0),ROUND((O1033-P1033)/O1033*100,1),"")</f>
        <v/>
      </c>
    </row>
    <row r="1034">
      <c r="Q1034">
        <f>IF(AND(ISNUMBER(O1034),ISNUMBER(P1034),O1034&gt;0),ROUND((O1034-P1034)/O1034*100,1),"")</f>
        <v/>
      </c>
    </row>
    <row r="1035">
      <c r="Q1035">
        <f>IF(AND(ISNUMBER(O1035),ISNUMBER(P1035),O1035&gt;0),ROUND((O1035-P1035)/O1035*100,1),"")</f>
        <v/>
      </c>
    </row>
    <row r="1036">
      <c r="Q1036">
        <f>IF(AND(ISNUMBER(O1036),ISNUMBER(P1036),O1036&gt;0),ROUND((O1036-P1036)/O1036*100,1),"")</f>
        <v/>
      </c>
    </row>
    <row r="1037">
      <c r="Q1037">
        <f>IF(AND(ISNUMBER(O1037),ISNUMBER(P1037),O1037&gt;0),ROUND((O1037-P1037)/O1037*100,1),"")</f>
        <v/>
      </c>
    </row>
    <row r="1038">
      <c r="Q1038">
        <f>IF(AND(ISNUMBER(O1038),ISNUMBER(P1038),O1038&gt;0),ROUND((O1038-P1038)/O1038*100,1),"")</f>
        <v/>
      </c>
    </row>
    <row r="1039">
      <c r="Q1039">
        <f>IF(AND(ISNUMBER(O1039),ISNUMBER(P1039),O1039&gt;0),ROUND((O1039-P1039)/O1039*100,1),"")</f>
        <v/>
      </c>
    </row>
    <row r="1040">
      <c r="Q1040">
        <f>IF(AND(ISNUMBER(O1040),ISNUMBER(P1040),O1040&gt;0),ROUND((O1040-P1040)/O1040*100,1),"")</f>
        <v/>
      </c>
    </row>
    <row r="1041">
      <c r="Q1041">
        <f>IF(AND(ISNUMBER(O1041),ISNUMBER(P1041),O1041&gt;0),ROUND((O1041-P1041)/O1041*100,1),"")</f>
        <v/>
      </c>
    </row>
    <row r="1042">
      <c r="Q1042">
        <f>IF(AND(ISNUMBER(O1042),ISNUMBER(P1042),O1042&gt;0),ROUND((O1042-P1042)/O1042*100,1),"")</f>
        <v/>
      </c>
    </row>
    <row r="1043">
      <c r="Q1043">
        <f>IF(AND(ISNUMBER(O1043),ISNUMBER(P1043),O1043&gt;0),ROUND((O1043-P1043)/O1043*100,1),"")</f>
        <v/>
      </c>
    </row>
    <row r="1044">
      <c r="Q1044">
        <f>IF(AND(ISNUMBER(O1044),ISNUMBER(P1044),O1044&gt;0),ROUND((O1044-P1044)/O1044*100,1),"")</f>
        <v/>
      </c>
    </row>
    <row r="1045">
      <c r="Q1045">
        <f>IF(AND(ISNUMBER(O1045),ISNUMBER(P1045),O1045&gt;0),ROUND((O1045-P1045)/O1045*100,1),"")</f>
        <v/>
      </c>
    </row>
    <row r="1046">
      <c r="Q1046">
        <f>IF(AND(ISNUMBER(O1046),ISNUMBER(P1046),O1046&gt;0),ROUND((O1046-P1046)/O1046*100,1),"")</f>
        <v/>
      </c>
    </row>
    <row r="1047">
      <c r="Q1047">
        <f>IF(AND(ISNUMBER(O1047),ISNUMBER(P1047),O1047&gt;0),ROUND((O1047-P1047)/O1047*100,1),"")</f>
        <v/>
      </c>
    </row>
    <row r="1048">
      <c r="Q1048">
        <f>IF(AND(ISNUMBER(O1048),ISNUMBER(P1048),O1048&gt;0),ROUND((O1048-P1048)/O1048*100,1),"")</f>
        <v/>
      </c>
    </row>
    <row r="1049">
      <c r="Q1049">
        <f>IF(AND(ISNUMBER(O1049),ISNUMBER(P1049),O1049&gt;0),ROUND((O1049-P1049)/O1049*100,1),"")</f>
        <v/>
      </c>
    </row>
    <row r="1050">
      <c r="Q1050">
        <f>IF(AND(ISNUMBER(O1050),ISNUMBER(P1050),O1050&gt;0),ROUND((O1050-P1050)/O1050*100,1),"")</f>
        <v/>
      </c>
    </row>
    <row r="1051">
      <c r="Q1051">
        <f>IF(AND(ISNUMBER(O1051),ISNUMBER(P1051),O1051&gt;0),ROUND((O1051-P1051)/O1051*100,1),"")</f>
        <v/>
      </c>
    </row>
    <row r="1052">
      <c r="Q1052">
        <f>IF(AND(ISNUMBER(O1052),ISNUMBER(P1052),O1052&gt;0),ROUND((O1052-P1052)/O1052*100,1),"")</f>
        <v/>
      </c>
    </row>
    <row r="1053">
      <c r="Q1053">
        <f>IF(AND(ISNUMBER(O1053),ISNUMBER(P1053),O1053&gt;0),ROUND((O1053-P1053)/O1053*100,1),"")</f>
        <v/>
      </c>
    </row>
    <row r="1054">
      <c r="Q1054">
        <f>IF(AND(ISNUMBER(O1054),ISNUMBER(P1054),O1054&gt;0),ROUND((O1054-P1054)/O1054*100,1),"")</f>
        <v/>
      </c>
    </row>
    <row r="1055">
      <c r="Q1055">
        <f>IF(AND(ISNUMBER(O1055),ISNUMBER(P1055),O1055&gt;0),ROUND((O1055-P1055)/O1055*100,1),"")</f>
        <v/>
      </c>
    </row>
    <row r="1056">
      <c r="Q1056">
        <f>IF(AND(ISNUMBER(O1056),ISNUMBER(P1056),O1056&gt;0),ROUND((O1056-P1056)/O1056*100,1),"")</f>
        <v/>
      </c>
    </row>
    <row r="1057">
      <c r="Q1057">
        <f>IF(AND(ISNUMBER(O1057),ISNUMBER(P1057),O1057&gt;0),ROUND((O1057-P1057)/O1057*100,1),"")</f>
        <v/>
      </c>
    </row>
    <row r="1058">
      <c r="Q1058">
        <f>IF(AND(ISNUMBER(O1058),ISNUMBER(P1058),O1058&gt;0),ROUND((O1058-P1058)/O1058*100,1),"")</f>
        <v/>
      </c>
    </row>
    <row r="1059">
      <c r="Q1059">
        <f>IF(AND(ISNUMBER(O1059),ISNUMBER(P1059),O1059&gt;0),ROUND((O1059-P1059)/O1059*100,1),"")</f>
        <v/>
      </c>
    </row>
    <row r="1060">
      <c r="Q1060">
        <f>IF(AND(ISNUMBER(O1060),ISNUMBER(P1060),O1060&gt;0),ROUND((O1060-P1060)/O1060*100,1),"")</f>
        <v/>
      </c>
    </row>
    <row r="1061">
      <c r="Q1061">
        <f>IF(AND(ISNUMBER(O1061),ISNUMBER(P1061),O1061&gt;0),ROUND((O1061-P1061)/O1061*100,1),"")</f>
        <v/>
      </c>
    </row>
    <row r="1062">
      <c r="Q1062">
        <f>IF(AND(ISNUMBER(O1062),ISNUMBER(P1062),O1062&gt;0),ROUND((O1062-P1062)/O1062*100,1),"")</f>
        <v/>
      </c>
    </row>
    <row r="1063">
      <c r="Q1063">
        <f>IF(AND(ISNUMBER(O1063),ISNUMBER(P1063),O1063&gt;0),ROUND((O1063-P1063)/O1063*100,1),"")</f>
        <v/>
      </c>
    </row>
    <row r="1064">
      <c r="Q1064">
        <f>IF(AND(ISNUMBER(O1064),ISNUMBER(P1064),O1064&gt;0),ROUND((O1064-P1064)/O1064*100,1),"")</f>
        <v/>
      </c>
    </row>
    <row r="1065">
      <c r="Q1065">
        <f>IF(AND(ISNUMBER(O1065),ISNUMBER(P1065),O1065&gt;0),ROUND((O1065-P1065)/O1065*100,1),"")</f>
        <v/>
      </c>
    </row>
    <row r="1066">
      <c r="Q1066">
        <f>IF(AND(ISNUMBER(O1066),ISNUMBER(P1066),O1066&gt;0),ROUND((O1066-P1066)/O1066*100,1),"")</f>
        <v/>
      </c>
    </row>
    <row r="1067">
      <c r="Q1067">
        <f>IF(AND(ISNUMBER(O1067),ISNUMBER(P1067),O1067&gt;0),ROUND((O1067-P1067)/O1067*100,1),"")</f>
        <v/>
      </c>
    </row>
    <row r="1068">
      <c r="Q1068">
        <f>IF(AND(ISNUMBER(O1068),ISNUMBER(P1068),O1068&gt;0),ROUND((O1068-P1068)/O1068*100,1),"")</f>
        <v/>
      </c>
    </row>
    <row r="1069">
      <c r="Q1069">
        <f>IF(AND(ISNUMBER(O1069),ISNUMBER(P1069),O1069&gt;0),ROUND((O1069-P1069)/O1069*100,1),"")</f>
        <v/>
      </c>
    </row>
    <row r="1070">
      <c r="Q1070">
        <f>IF(AND(ISNUMBER(O1070),ISNUMBER(P1070),O1070&gt;0),ROUND((O1070-P1070)/O1070*100,1),"")</f>
        <v/>
      </c>
    </row>
    <row r="1071">
      <c r="Q1071">
        <f>IF(AND(ISNUMBER(O1071),ISNUMBER(P1071),O1071&gt;0),ROUND((O1071-P1071)/O1071*100,1),"")</f>
        <v/>
      </c>
    </row>
    <row r="1072">
      <c r="Q1072">
        <f>IF(AND(ISNUMBER(O1072),ISNUMBER(P1072),O1072&gt;0),ROUND((O1072-P1072)/O1072*100,1),"")</f>
        <v/>
      </c>
    </row>
    <row r="1073">
      <c r="Q1073">
        <f>IF(AND(ISNUMBER(O1073),ISNUMBER(P1073),O1073&gt;0),ROUND((O1073-P1073)/O1073*100,1),"")</f>
        <v/>
      </c>
    </row>
    <row r="1074">
      <c r="Q1074">
        <f>IF(AND(ISNUMBER(O1074),ISNUMBER(P1074),O1074&gt;0),ROUND((O1074-P1074)/O1074*100,1),"")</f>
        <v/>
      </c>
    </row>
    <row r="1075">
      <c r="Q1075">
        <f>IF(AND(ISNUMBER(O1075),ISNUMBER(P1075),O1075&gt;0),ROUND((O1075-P1075)/O1075*100,1),"")</f>
        <v/>
      </c>
    </row>
    <row r="1076">
      <c r="Q1076">
        <f>IF(AND(ISNUMBER(O1076),ISNUMBER(P1076),O1076&gt;0),ROUND((O1076-P1076)/O1076*100,1),"")</f>
        <v/>
      </c>
    </row>
    <row r="1077">
      <c r="Q1077">
        <f>IF(AND(ISNUMBER(O1077),ISNUMBER(P1077),O1077&gt;0),ROUND((O1077-P1077)/O1077*100,1),"")</f>
        <v/>
      </c>
    </row>
    <row r="1078">
      <c r="Q1078">
        <f>IF(AND(ISNUMBER(O1078),ISNUMBER(P1078),O1078&gt;0),ROUND((O1078-P1078)/O1078*100,1),"")</f>
        <v/>
      </c>
    </row>
    <row r="1079">
      <c r="Q1079">
        <f>IF(AND(ISNUMBER(O1079),ISNUMBER(P1079),O1079&gt;0),ROUND((O1079-P1079)/O1079*100,1),"")</f>
        <v/>
      </c>
    </row>
    <row r="1080">
      <c r="Q1080">
        <f>IF(AND(ISNUMBER(O1080),ISNUMBER(P1080),O1080&gt;0),ROUND((O1080-P1080)/O1080*100,1),"")</f>
        <v/>
      </c>
    </row>
    <row r="1081">
      <c r="Q1081">
        <f>IF(AND(ISNUMBER(O1081),ISNUMBER(P1081),O1081&gt;0),ROUND((O1081-P1081)/O1081*100,1),"")</f>
        <v/>
      </c>
    </row>
    <row r="1082">
      <c r="Q1082">
        <f>IF(AND(ISNUMBER(O1082),ISNUMBER(P1082),O1082&gt;0),ROUND((O1082-P1082)/O1082*100,1),"")</f>
        <v/>
      </c>
    </row>
    <row r="1083">
      <c r="Q1083">
        <f>IF(AND(ISNUMBER(O1083),ISNUMBER(P1083),O1083&gt;0),ROUND((O1083-P1083)/O1083*100,1),"")</f>
        <v/>
      </c>
    </row>
    <row r="1084">
      <c r="Q1084">
        <f>IF(AND(ISNUMBER(O1084),ISNUMBER(P1084),O1084&gt;0),ROUND((O1084-P1084)/O1084*100,1),"")</f>
        <v/>
      </c>
    </row>
    <row r="1085">
      <c r="Q1085">
        <f>IF(AND(ISNUMBER(O1085),ISNUMBER(P1085),O1085&gt;0),ROUND((O1085-P1085)/O1085*100,1),"")</f>
        <v/>
      </c>
    </row>
    <row r="1086">
      <c r="Q1086">
        <f>IF(AND(ISNUMBER(O1086),ISNUMBER(P1086),O1086&gt;0),ROUND((O1086-P1086)/O1086*100,1),"")</f>
        <v/>
      </c>
    </row>
    <row r="1087">
      <c r="Q1087">
        <f>IF(AND(ISNUMBER(O1087),ISNUMBER(P1087),O1087&gt;0),ROUND((O1087-P1087)/O1087*100,1),"")</f>
        <v/>
      </c>
    </row>
    <row r="1088">
      <c r="Q1088">
        <f>IF(AND(ISNUMBER(O1088),ISNUMBER(P1088),O1088&gt;0),ROUND((O1088-P1088)/O1088*100,1),"")</f>
        <v/>
      </c>
    </row>
    <row r="1089">
      <c r="Q1089">
        <f>IF(AND(ISNUMBER(O1089),ISNUMBER(P1089),O1089&gt;0),ROUND((O1089-P1089)/O1089*100,1),"")</f>
        <v/>
      </c>
    </row>
    <row r="1090">
      <c r="Q1090">
        <f>IF(AND(ISNUMBER(O1090),ISNUMBER(P1090),O1090&gt;0),ROUND((O1090-P1090)/O1090*100,1),"")</f>
        <v/>
      </c>
    </row>
    <row r="1091">
      <c r="Q1091">
        <f>IF(AND(ISNUMBER(O1091),ISNUMBER(P1091),O1091&gt;0),ROUND((O1091-P1091)/O1091*100,1),"")</f>
        <v/>
      </c>
    </row>
    <row r="1092">
      <c r="Q1092">
        <f>IF(AND(ISNUMBER(O1092),ISNUMBER(P1092),O1092&gt;0),ROUND((O1092-P1092)/O1092*100,1),"")</f>
        <v/>
      </c>
    </row>
    <row r="1093">
      <c r="Q1093">
        <f>IF(AND(ISNUMBER(O1093),ISNUMBER(P1093),O1093&gt;0),ROUND((O1093-P1093)/O1093*100,1),"")</f>
        <v/>
      </c>
    </row>
    <row r="1094">
      <c r="Q1094">
        <f>IF(AND(ISNUMBER(O1094),ISNUMBER(P1094),O1094&gt;0),ROUND((O1094-P1094)/O1094*100,1),"")</f>
        <v/>
      </c>
    </row>
    <row r="1095">
      <c r="Q1095">
        <f>IF(AND(ISNUMBER(O1095),ISNUMBER(P1095),O1095&gt;0),ROUND((O1095-P1095)/O1095*100,1),"")</f>
        <v/>
      </c>
    </row>
    <row r="1096">
      <c r="Q1096">
        <f>IF(AND(ISNUMBER(O1096),ISNUMBER(P1096),O1096&gt;0),ROUND((O1096-P1096)/O1096*100,1),"")</f>
        <v/>
      </c>
    </row>
    <row r="1097">
      <c r="Q1097">
        <f>IF(AND(ISNUMBER(O1097),ISNUMBER(P1097),O1097&gt;0),ROUND((O1097-P1097)/O1097*100,1),"")</f>
        <v/>
      </c>
    </row>
    <row r="1098">
      <c r="Q1098">
        <f>IF(AND(ISNUMBER(O1098),ISNUMBER(P1098),O1098&gt;0),ROUND((O1098-P1098)/O1098*100,1),"")</f>
        <v/>
      </c>
    </row>
    <row r="1099">
      <c r="Q1099">
        <f>IF(AND(ISNUMBER(O1099),ISNUMBER(P1099),O1099&gt;0),ROUND((O1099-P1099)/O1099*100,1),"")</f>
        <v/>
      </c>
    </row>
    <row r="1100">
      <c r="Q1100">
        <f>IF(AND(ISNUMBER(O1100),ISNUMBER(P1100),O1100&gt;0),ROUND((O1100-P1100)/O1100*100,1),"")</f>
        <v/>
      </c>
    </row>
    <row r="1101">
      <c r="Q1101">
        <f>IF(AND(ISNUMBER(O1101),ISNUMBER(P1101),O1101&gt;0),ROUND((O1101-P1101)/O1101*100,1),"")</f>
        <v/>
      </c>
    </row>
    <row r="1102">
      <c r="Q1102">
        <f>IF(AND(ISNUMBER(O1102),ISNUMBER(P1102),O1102&gt;0),ROUND((O1102-P1102)/O1102*100,1),"")</f>
        <v/>
      </c>
    </row>
    <row r="1103">
      <c r="Q1103">
        <f>IF(AND(ISNUMBER(O1103),ISNUMBER(P1103),O1103&gt;0),ROUND((O1103-P1103)/O1103*100,1),"")</f>
        <v/>
      </c>
    </row>
    <row r="1104">
      <c r="Q1104">
        <f>IF(AND(ISNUMBER(O1104),ISNUMBER(P1104),O1104&gt;0),ROUND((O1104-P1104)/O1104*100,1),"")</f>
        <v/>
      </c>
    </row>
    <row r="1105">
      <c r="Q1105">
        <f>IF(AND(ISNUMBER(O1105),ISNUMBER(P1105),O1105&gt;0),ROUND((O1105-P1105)/O1105*100,1),"")</f>
        <v/>
      </c>
    </row>
    <row r="1106">
      <c r="Q1106">
        <f>IF(AND(ISNUMBER(O1106),ISNUMBER(P1106),O1106&gt;0),ROUND((O1106-P1106)/O1106*100,1),"")</f>
        <v/>
      </c>
    </row>
    <row r="1107">
      <c r="Q1107">
        <f>IF(AND(ISNUMBER(O1107),ISNUMBER(P1107),O1107&gt;0),ROUND((O1107-P1107)/O1107*100,1),"")</f>
        <v/>
      </c>
    </row>
    <row r="1108">
      <c r="Q1108">
        <f>IF(AND(ISNUMBER(O1108),ISNUMBER(P1108),O1108&gt;0),ROUND((O1108-P1108)/O1108*100,1),"")</f>
        <v/>
      </c>
    </row>
    <row r="1109">
      <c r="Q1109">
        <f>IF(AND(ISNUMBER(O1109),ISNUMBER(P1109),O1109&gt;0),ROUND((O1109-P1109)/O1109*100,1),"")</f>
        <v/>
      </c>
    </row>
    <row r="1110">
      <c r="Q1110">
        <f>IF(AND(ISNUMBER(O1110),ISNUMBER(P1110),O1110&gt;0),ROUND((O1110-P1110)/O1110*100,1),"")</f>
        <v/>
      </c>
    </row>
    <row r="1111">
      <c r="Q1111">
        <f>IF(AND(ISNUMBER(O1111),ISNUMBER(P1111),O1111&gt;0),ROUND((O1111-P1111)/O1111*100,1),"")</f>
        <v/>
      </c>
    </row>
    <row r="1112">
      <c r="Q1112">
        <f>IF(AND(ISNUMBER(O1112),ISNUMBER(P1112),O1112&gt;0),ROUND((O1112-P1112)/O1112*100,1),"")</f>
        <v/>
      </c>
    </row>
    <row r="1113">
      <c r="Q1113">
        <f>IF(AND(ISNUMBER(O1113),ISNUMBER(P1113),O1113&gt;0),ROUND((O1113-P1113)/O1113*100,1),"")</f>
        <v/>
      </c>
    </row>
    <row r="1114">
      <c r="Q1114">
        <f>IF(AND(ISNUMBER(O1114),ISNUMBER(P1114),O1114&gt;0),ROUND((O1114-P1114)/O1114*100,1),"")</f>
        <v/>
      </c>
    </row>
    <row r="1115">
      <c r="Q1115">
        <f>IF(AND(ISNUMBER(O1115),ISNUMBER(P1115),O1115&gt;0),ROUND((O1115-P1115)/O1115*100,1),"")</f>
        <v/>
      </c>
    </row>
    <row r="1116">
      <c r="Q1116">
        <f>IF(AND(ISNUMBER(O1116),ISNUMBER(P1116),O1116&gt;0),ROUND((O1116-P1116)/O1116*100,1),"")</f>
        <v/>
      </c>
    </row>
    <row r="1117">
      <c r="Q1117">
        <f>IF(AND(ISNUMBER(O1117),ISNUMBER(P1117),O1117&gt;0),ROUND((O1117-P1117)/O1117*100,1),"")</f>
        <v/>
      </c>
    </row>
    <row r="1118">
      <c r="Q1118">
        <f>IF(AND(ISNUMBER(O1118),ISNUMBER(P1118),O1118&gt;0),ROUND((O1118-P1118)/O1118*100,1),"")</f>
        <v/>
      </c>
    </row>
    <row r="1119">
      <c r="Q1119">
        <f>IF(AND(ISNUMBER(O1119),ISNUMBER(P1119),O1119&gt;0),ROUND((O1119-P1119)/O1119*100,1),"")</f>
        <v/>
      </c>
    </row>
    <row r="1120">
      <c r="Q1120">
        <f>IF(AND(ISNUMBER(O1120),ISNUMBER(P1120),O1120&gt;0),ROUND((O1120-P1120)/O1120*100,1),"")</f>
        <v/>
      </c>
    </row>
    <row r="1121">
      <c r="Q1121">
        <f>IF(AND(ISNUMBER(O1121),ISNUMBER(P1121),O1121&gt;0),ROUND((O1121-P1121)/O1121*100,1),"")</f>
        <v/>
      </c>
    </row>
    <row r="1122">
      <c r="Q1122">
        <f>IF(AND(ISNUMBER(O1122),ISNUMBER(P1122),O1122&gt;0),ROUND((O1122-P1122)/O1122*100,1),"")</f>
        <v/>
      </c>
    </row>
    <row r="1123">
      <c r="Q1123">
        <f>IF(AND(ISNUMBER(O1123),ISNUMBER(P1123),O1123&gt;0),ROUND((O1123-P1123)/O1123*100,1),"")</f>
        <v/>
      </c>
    </row>
    <row r="1124">
      <c r="Q1124">
        <f>IF(AND(ISNUMBER(O1124),ISNUMBER(P1124),O1124&gt;0),ROUND((O1124-P1124)/O1124*100,1),"")</f>
        <v/>
      </c>
    </row>
    <row r="1125">
      <c r="Q1125">
        <f>IF(AND(ISNUMBER(O1125),ISNUMBER(P1125),O1125&gt;0),ROUND((O1125-P1125)/O1125*100,1),"")</f>
        <v/>
      </c>
    </row>
    <row r="1126">
      <c r="Q1126">
        <f>IF(AND(ISNUMBER(O1126),ISNUMBER(P1126),O1126&gt;0),ROUND((O1126-P1126)/O1126*100,1),"")</f>
        <v/>
      </c>
    </row>
    <row r="1127">
      <c r="Q1127">
        <f>IF(AND(ISNUMBER(O1127),ISNUMBER(P1127),O1127&gt;0),ROUND((O1127-P1127)/O1127*100,1),"")</f>
        <v/>
      </c>
    </row>
    <row r="1128">
      <c r="Q1128">
        <f>IF(AND(ISNUMBER(O1128),ISNUMBER(P1128),O1128&gt;0),ROUND((O1128-P1128)/O1128*100,1),"")</f>
        <v/>
      </c>
    </row>
    <row r="1129">
      <c r="Q1129">
        <f>IF(AND(ISNUMBER(O1129),ISNUMBER(P1129),O1129&gt;0),ROUND((O1129-P1129)/O1129*100,1),"")</f>
        <v/>
      </c>
    </row>
    <row r="1130">
      <c r="Q1130">
        <f>IF(AND(ISNUMBER(O1130),ISNUMBER(P1130),O1130&gt;0),ROUND((O1130-P1130)/O1130*100,1),"")</f>
        <v/>
      </c>
    </row>
    <row r="1131">
      <c r="Q1131">
        <f>IF(AND(ISNUMBER(O1131),ISNUMBER(P1131),O1131&gt;0),ROUND((O1131-P1131)/O1131*100,1),"")</f>
        <v/>
      </c>
    </row>
    <row r="1132">
      <c r="Q1132">
        <f>IF(AND(ISNUMBER(O1132),ISNUMBER(P1132),O1132&gt;0),ROUND((O1132-P1132)/O1132*100,1),"")</f>
        <v/>
      </c>
    </row>
    <row r="1133">
      <c r="Q1133">
        <f>IF(AND(ISNUMBER(O1133),ISNUMBER(P1133),O1133&gt;0),ROUND((O1133-P1133)/O1133*100,1),"")</f>
        <v/>
      </c>
    </row>
    <row r="1134">
      <c r="Q1134">
        <f>IF(AND(ISNUMBER(O1134),ISNUMBER(P1134),O1134&gt;0),ROUND((O1134-P1134)/O1134*100,1),"")</f>
        <v/>
      </c>
    </row>
    <row r="1135">
      <c r="Q1135">
        <f>IF(AND(ISNUMBER(O1135),ISNUMBER(P1135),O1135&gt;0),ROUND((O1135-P1135)/O1135*100,1),"")</f>
        <v/>
      </c>
    </row>
    <row r="1136">
      <c r="Q1136">
        <f>IF(AND(ISNUMBER(O1136),ISNUMBER(P1136),O1136&gt;0),ROUND((O1136-P1136)/O1136*100,1),"")</f>
        <v/>
      </c>
    </row>
    <row r="1137">
      <c r="Q1137">
        <f>IF(AND(ISNUMBER(O1137),ISNUMBER(P1137),O1137&gt;0),ROUND((O1137-P1137)/O1137*100,1),"")</f>
        <v/>
      </c>
    </row>
    <row r="1138">
      <c r="Q1138">
        <f>IF(AND(ISNUMBER(O1138),ISNUMBER(P1138),O1138&gt;0),ROUND((O1138-P1138)/O1138*100,1),"")</f>
        <v/>
      </c>
    </row>
    <row r="1139">
      <c r="Q1139">
        <f>IF(AND(ISNUMBER(O1139),ISNUMBER(P1139),O1139&gt;0),ROUND((O1139-P1139)/O1139*100,1),"")</f>
        <v/>
      </c>
    </row>
    <row r="1140">
      <c r="Q1140">
        <f>IF(AND(ISNUMBER(O1140),ISNUMBER(P1140),O1140&gt;0),ROUND((O1140-P1140)/O1140*100,1),"")</f>
        <v/>
      </c>
    </row>
    <row r="1141">
      <c r="Q1141">
        <f>IF(AND(ISNUMBER(O1141),ISNUMBER(P1141),O1141&gt;0),ROUND((O1141-P1141)/O1141*100,1),"")</f>
        <v/>
      </c>
    </row>
    <row r="1142">
      <c r="Q1142">
        <f>IF(AND(ISNUMBER(O1142),ISNUMBER(P1142),O1142&gt;0),ROUND((O1142-P1142)/O1142*100,1),"")</f>
        <v/>
      </c>
    </row>
    <row r="1143">
      <c r="Q1143">
        <f>IF(AND(ISNUMBER(O1143),ISNUMBER(P1143),O1143&gt;0),ROUND((O1143-P1143)/O1143*100,1),"")</f>
        <v/>
      </c>
    </row>
    <row r="1144">
      <c r="Q1144">
        <f>IF(AND(ISNUMBER(O1144),ISNUMBER(P1144),O1144&gt;0),ROUND((O1144-P1144)/O1144*100,1),"")</f>
        <v/>
      </c>
    </row>
    <row r="1145">
      <c r="Q1145">
        <f>IF(AND(ISNUMBER(O1145),ISNUMBER(P1145),O1145&gt;0),ROUND((O1145-P1145)/O1145*100,1),"")</f>
        <v/>
      </c>
    </row>
    <row r="1146">
      <c r="Q1146">
        <f>IF(AND(ISNUMBER(O1146),ISNUMBER(P1146),O1146&gt;0),ROUND((O1146-P1146)/O1146*100,1),"")</f>
        <v/>
      </c>
    </row>
    <row r="1147">
      <c r="Q1147">
        <f>IF(AND(ISNUMBER(O1147),ISNUMBER(P1147),O1147&gt;0),ROUND((O1147-P1147)/O1147*100,1),"")</f>
        <v/>
      </c>
    </row>
    <row r="1148">
      <c r="Q1148">
        <f>IF(AND(ISNUMBER(O1148),ISNUMBER(P1148),O1148&gt;0),ROUND((O1148-P1148)/O1148*100,1),"")</f>
        <v/>
      </c>
    </row>
    <row r="1149">
      <c r="Q1149">
        <f>IF(AND(ISNUMBER(O1149),ISNUMBER(P1149),O1149&gt;0),ROUND((O1149-P1149)/O1149*100,1),"")</f>
        <v/>
      </c>
    </row>
    <row r="1150">
      <c r="Q1150">
        <f>IF(AND(ISNUMBER(O1150),ISNUMBER(P1150),O1150&gt;0),ROUND((O1150-P1150)/O1150*100,1),"")</f>
        <v/>
      </c>
    </row>
    <row r="1151">
      <c r="Q1151">
        <f>IF(AND(ISNUMBER(O1151),ISNUMBER(P1151),O1151&gt;0),ROUND((O1151-P1151)/O1151*100,1),"")</f>
        <v/>
      </c>
    </row>
    <row r="1152">
      <c r="Q1152">
        <f>IF(AND(ISNUMBER(O1152),ISNUMBER(P1152),O1152&gt;0),ROUND((O1152-P1152)/O1152*100,1),"")</f>
        <v/>
      </c>
    </row>
    <row r="1153">
      <c r="Q1153">
        <f>IF(AND(ISNUMBER(O1153),ISNUMBER(P1153),O1153&gt;0),ROUND((O1153-P1153)/O1153*100,1),"")</f>
        <v/>
      </c>
    </row>
    <row r="1154">
      <c r="Q1154">
        <f>IF(AND(ISNUMBER(O1154),ISNUMBER(P1154),O1154&gt;0),ROUND((O1154-P1154)/O1154*100,1),"")</f>
        <v/>
      </c>
    </row>
    <row r="1155">
      <c r="Q1155">
        <f>IF(AND(ISNUMBER(O1155),ISNUMBER(P1155),O1155&gt;0),ROUND((O1155-P1155)/O1155*100,1),"")</f>
        <v/>
      </c>
    </row>
    <row r="1156">
      <c r="Q1156">
        <f>IF(AND(ISNUMBER(O1156),ISNUMBER(P1156),O1156&gt;0),ROUND((O1156-P1156)/O1156*100,1),"")</f>
        <v/>
      </c>
    </row>
    <row r="1157">
      <c r="Q1157">
        <f>IF(AND(ISNUMBER(O1157),ISNUMBER(P1157),O1157&gt;0),ROUND((O1157-P1157)/O1157*100,1),"")</f>
        <v/>
      </c>
    </row>
    <row r="1158">
      <c r="Q1158">
        <f>IF(AND(ISNUMBER(O1158),ISNUMBER(P1158),O1158&gt;0),ROUND((O1158-P1158)/O1158*100,1),"")</f>
        <v/>
      </c>
    </row>
    <row r="1159">
      <c r="Q1159">
        <f>IF(AND(ISNUMBER(O1159),ISNUMBER(P1159),O1159&gt;0),ROUND((O1159-P1159)/O1159*100,1),"")</f>
        <v/>
      </c>
    </row>
    <row r="1160">
      <c r="Q1160">
        <f>IF(AND(ISNUMBER(O1160),ISNUMBER(P1160),O1160&gt;0),ROUND((O1160-P1160)/O1160*100,1),"")</f>
        <v/>
      </c>
    </row>
    <row r="1161">
      <c r="Q1161">
        <f>IF(AND(ISNUMBER(O1161),ISNUMBER(P1161),O1161&gt;0),ROUND((O1161-P1161)/O1161*100,1),"")</f>
        <v/>
      </c>
    </row>
    <row r="1162">
      <c r="Q1162">
        <f>IF(AND(ISNUMBER(O1162),ISNUMBER(P1162),O1162&gt;0),ROUND((O1162-P1162)/O1162*100,1),"")</f>
        <v/>
      </c>
    </row>
    <row r="1163">
      <c r="Q1163">
        <f>IF(AND(ISNUMBER(O1163),ISNUMBER(P1163),O1163&gt;0),ROUND((O1163-P1163)/O1163*100,1),"")</f>
        <v/>
      </c>
    </row>
    <row r="1164">
      <c r="Q1164">
        <f>IF(AND(ISNUMBER(O1164),ISNUMBER(P1164),O1164&gt;0),ROUND((O1164-P1164)/O1164*100,1),"")</f>
        <v/>
      </c>
    </row>
    <row r="1165">
      <c r="Q1165">
        <f>IF(AND(ISNUMBER(O1165),ISNUMBER(P1165),O1165&gt;0),ROUND((O1165-P1165)/O1165*100,1),"")</f>
        <v/>
      </c>
    </row>
    <row r="1166">
      <c r="Q1166">
        <f>IF(AND(ISNUMBER(O1166),ISNUMBER(P1166),O1166&gt;0),ROUND((O1166-P1166)/O1166*100,1),"")</f>
        <v/>
      </c>
    </row>
    <row r="1167">
      <c r="Q1167">
        <f>IF(AND(ISNUMBER(O1167),ISNUMBER(P1167),O1167&gt;0),ROUND((O1167-P1167)/O1167*100,1),"")</f>
        <v/>
      </c>
    </row>
    <row r="1168">
      <c r="Q1168">
        <f>IF(AND(ISNUMBER(O1168),ISNUMBER(P1168),O1168&gt;0),ROUND((O1168-P1168)/O1168*100,1),"")</f>
        <v/>
      </c>
    </row>
    <row r="1169">
      <c r="Q1169">
        <f>IF(AND(ISNUMBER(O1169),ISNUMBER(P1169),O1169&gt;0),ROUND((O1169-P1169)/O1169*100,1),"")</f>
        <v/>
      </c>
    </row>
    <row r="1170">
      <c r="Q1170">
        <f>IF(AND(ISNUMBER(O1170),ISNUMBER(P1170),O1170&gt;0),ROUND((O1170-P1170)/O1170*100,1),"")</f>
        <v/>
      </c>
    </row>
    <row r="1171">
      <c r="Q1171">
        <f>IF(AND(ISNUMBER(O1171),ISNUMBER(P1171),O1171&gt;0),ROUND((O1171-P1171)/O1171*100,1),"")</f>
        <v/>
      </c>
    </row>
    <row r="1172">
      <c r="Q1172">
        <f>IF(AND(ISNUMBER(O1172),ISNUMBER(P1172),O1172&gt;0),ROUND((O1172-P1172)/O1172*100,1),"")</f>
        <v/>
      </c>
    </row>
    <row r="1173">
      <c r="Q1173">
        <f>IF(AND(ISNUMBER(O1173),ISNUMBER(P1173),O1173&gt;0),ROUND((O1173-P1173)/O1173*100,1),"")</f>
        <v/>
      </c>
    </row>
    <row r="1174">
      <c r="Q1174">
        <f>IF(AND(ISNUMBER(O1174),ISNUMBER(P1174),O1174&gt;0),ROUND((O1174-P1174)/O1174*100,1),"")</f>
        <v/>
      </c>
    </row>
    <row r="1175">
      <c r="Q1175">
        <f>IF(AND(ISNUMBER(O1175),ISNUMBER(P1175),O1175&gt;0),ROUND((O1175-P1175)/O1175*100,1),"")</f>
        <v/>
      </c>
    </row>
    <row r="1176">
      <c r="Q1176">
        <f>IF(AND(ISNUMBER(O1176),ISNUMBER(P1176),O1176&gt;0),ROUND((O1176-P1176)/O1176*100,1),"")</f>
        <v/>
      </c>
    </row>
    <row r="1177">
      <c r="Q1177">
        <f>IF(AND(ISNUMBER(O1177),ISNUMBER(P1177),O1177&gt;0),ROUND((O1177-P1177)/O1177*100,1),"")</f>
        <v/>
      </c>
    </row>
    <row r="1178">
      <c r="Q1178">
        <f>IF(AND(ISNUMBER(O1178),ISNUMBER(P1178),O1178&gt;0),ROUND((O1178-P1178)/O1178*100,1),"")</f>
        <v/>
      </c>
    </row>
    <row r="1179">
      <c r="Q1179">
        <f>IF(AND(ISNUMBER(O1179),ISNUMBER(P1179),O1179&gt;0),ROUND((O1179-P1179)/O1179*100,1),"")</f>
        <v/>
      </c>
    </row>
    <row r="1180">
      <c r="Q1180">
        <f>IF(AND(ISNUMBER(O1180),ISNUMBER(P1180),O1180&gt;0),ROUND((O1180-P1180)/O1180*100,1),"")</f>
        <v/>
      </c>
    </row>
    <row r="1181">
      <c r="Q1181">
        <f>IF(AND(ISNUMBER(O1181),ISNUMBER(P1181),O1181&gt;0),ROUND((O1181-P1181)/O1181*100,1),"")</f>
        <v/>
      </c>
    </row>
    <row r="1182">
      <c r="Q1182">
        <f>IF(AND(ISNUMBER(O1182),ISNUMBER(P1182),O1182&gt;0),ROUND((O1182-P1182)/O1182*100,1),"")</f>
        <v/>
      </c>
    </row>
    <row r="1183">
      <c r="Q1183">
        <f>IF(AND(ISNUMBER(O1183),ISNUMBER(P1183),O1183&gt;0),ROUND((O1183-P1183)/O1183*100,1),"")</f>
        <v/>
      </c>
    </row>
    <row r="1184">
      <c r="Q1184">
        <f>IF(AND(ISNUMBER(O1184),ISNUMBER(P1184),O1184&gt;0),ROUND((O1184-P1184)/O1184*100,1),"")</f>
        <v/>
      </c>
    </row>
    <row r="1185">
      <c r="Q1185">
        <f>IF(AND(ISNUMBER(O1185),ISNUMBER(P1185),O1185&gt;0),ROUND((O1185-P1185)/O1185*100,1),"")</f>
        <v/>
      </c>
    </row>
    <row r="1186">
      <c r="Q1186">
        <f>IF(AND(ISNUMBER(O1186),ISNUMBER(P1186),O1186&gt;0),ROUND((O1186-P1186)/O1186*100,1),"")</f>
        <v/>
      </c>
    </row>
    <row r="1187">
      <c r="Q1187">
        <f>IF(AND(ISNUMBER(O1187),ISNUMBER(P1187),O1187&gt;0),ROUND((O1187-P1187)/O1187*100,1),"")</f>
        <v/>
      </c>
    </row>
    <row r="1188">
      <c r="Q1188">
        <f>IF(AND(ISNUMBER(O1188),ISNUMBER(P1188),O1188&gt;0),ROUND((O1188-P1188)/O1188*100,1),"")</f>
        <v/>
      </c>
    </row>
    <row r="1189">
      <c r="Q1189">
        <f>IF(AND(ISNUMBER(O1189),ISNUMBER(P1189),O1189&gt;0),ROUND((O1189-P1189)/O1189*100,1),"")</f>
        <v/>
      </c>
    </row>
    <row r="1190">
      <c r="Q1190">
        <f>IF(AND(ISNUMBER(O1190),ISNUMBER(P1190),O1190&gt;0),ROUND((O1190-P1190)/O1190*100,1),"")</f>
        <v/>
      </c>
    </row>
    <row r="1191">
      <c r="Q1191">
        <f>IF(AND(ISNUMBER(O1191),ISNUMBER(P1191),O1191&gt;0),ROUND((O1191-P1191)/O1191*100,1),"")</f>
        <v/>
      </c>
    </row>
    <row r="1192">
      <c r="Q1192">
        <f>IF(AND(ISNUMBER(O1192),ISNUMBER(P1192),O1192&gt;0),ROUND((O1192-P1192)/O1192*100,1),"")</f>
        <v/>
      </c>
    </row>
    <row r="1193">
      <c r="Q1193">
        <f>IF(AND(ISNUMBER(O1193),ISNUMBER(P1193),O1193&gt;0),ROUND((O1193-P1193)/O1193*100,1),"")</f>
        <v/>
      </c>
    </row>
    <row r="1194">
      <c r="Q1194">
        <f>IF(AND(ISNUMBER(O1194),ISNUMBER(P1194),O1194&gt;0),ROUND((O1194-P1194)/O1194*100,1),"")</f>
        <v/>
      </c>
    </row>
    <row r="1195">
      <c r="Q1195">
        <f>IF(AND(ISNUMBER(O1195),ISNUMBER(P1195),O1195&gt;0),ROUND((O1195-P1195)/O1195*100,1),"")</f>
        <v/>
      </c>
    </row>
    <row r="1196">
      <c r="Q1196">
        <f>IF(AND(ISNUMBER(O1196),ISNUMBER(P1196),O1196&gt;0),ROUND((O1196-P1196)/O1196*100,1),"")</f>
        <v/>
      </c>
    </row>
    <row r="1197">
      <c r="Q1197">
        <f>IF(AND(ISNUMBER(O1197),ISNUMBER(P1197),O1197&gt;0),ROUND((O1197-P1197)/O1197*100,1),"")</f>
        <v/>
      </c>
    </row>
    <row r="1198">
      <c r="Q1198">
        <f>IF(AND(ISNUMBER(O1198),ISNUMBER(P1198),O1198&gt;0),ROUND((O1198-P1198)/O1198*100,1),"")</f>
        <v/>
      </c>
    </row>
    <row r="1199">
      <c r="Q1199">
        <f>IF(AND(ISNUMBER(O1199),ISNUMBER(P1199),O1199&gt;0),ROUND((O1199-P1199)/O1199*100,1),"")</f>
        <v/>
      </c>
    </row>
    <row r="1200">
      <c r="Q1200">
        <f>IF(AND(ISNUMBER(O1200),ISNUMBER(P1200),O1200&gt;0),ROUND((O1200-P1200)/O1200*100,1),"")</f>
        <v/>
      </c>
    </row>
    <row r="1201">
      <c r="Q1201">
        <f>IF(AND(ISNUMBER(O1201),ISNUMBER(P1201),O1201&gt;0),ROUND((O1201-P1201)/O1201*100,1),"")</f>
        <v/>
      </c>
    </row>
    <row r="1202">
      <c r="Q1202">
        <f>IF(AND(ISNUMBER(O1202),ISNUMBER(P1202),O1202&gt;0),ROUND((O1202-P1202)/O1202*100,1),"")</f>
        <v/>
      </c>
    </row>
    <row r="1203">
      <c r="Q1203">
        <f>IF(AND(ISNUMBER(O1203),ISNUMBER(P1203),O1203&gt;0),ROUND((O1203-P1203)/O1203*100,1),"")</f>
        <v/>
      </c>
    </row>
    <row r="1204">
      <c r="Q1204">
        <f>IF(AND(ISNUMBER(O1204),ISNUMBER(P1204),O1204&gt;0),ROUND((O1204-P1204)/O1204*100,1),"")</f>
        <v/>
      </c>
    </row>
    <row r="1205">
      <c r="Q1205">
        <f>IF(AND(ISNUMBER(O1205),ISNUMBER(P1205),O1205&gt;0),ROUND((O1205-P1205)/O1205*100,1),"")</f>
        <v/>
      </c>
    </row>
    <row r="1206">
      <c r="Q1206">
        <f>IF(AND(ISNUMBER(O1206),ISNUMBER(P1206),O1206&gt;0),ROUND((O1206-P1206)/O1206*100,1),"")</f>
        <v/>
      </c>
    </row>
    <row r="1207">
      <c r="Q1207">
        <f>IF(AND(ISNUMBER(O1207),ISNUMBER(P1207),O1207&gt;0),ROUND((O1207-P1207)/O1207*100,1),"")</f>
        <v/>
      </c>
    </row>
    <row r="1208">
      <c r="Q1208">
        <f>IF(AND(ISNUMBER(O1208),ISNUMBER(P1208),O1208&gt;0),ROUND((O1208-P1208)/O1208*100,1),"")</f>
        <v/>
      </c>
    </row>
    <row r="1209">
      <c r="Q1209">
        <f>IF(AND(ISNUMBER(O1209),ISNUMBER(P1209),O1209&gt;0),ROUND((O1209-P1209)/O1209*100,1),"")</f>
        <v/>
      </c>
    </row>
    <row r="1210">
      <c r="Q1210">
        <f>IF(AND(ISNUMBER(O1210),ISNUMBER(P1210),O1210&gt;0),ROUND((O1210-P1210)/O1210*100,1),"")</f>
        <v/>
      </c>
    </row>
    <row r="1211">
      <c r="Q1211">
        <f>IF(AND(ISNUMBER(O1211),ISNUMBER(P1211),O1211&gt;0),ROUND((O1211-P1211)/O1211*100,1),"")</f>
        <v/>
      </c>
    </row>
    <row r="1212">
      <c r="Q1212">
        <f>IF(AND(ISNUMBER(O1212),ISNUMBER(P1212),O1212&gt;0),ROUND((O1212-P1212)/O1212*100,1),"")</f>
        <v/>
      </c>
    </row>
    <row r="1213">
      <c r="Q1213">
        <f>IF(AND(ISNUMBER(O1213),ISNUMBER(P1213),O1213&gt;0),ROUND((O1213-P1213)/O1213*100,1),"")</f>
        <v/>
      </c>
    </row>
    <row r="1214">
      <c r="Q1214">
        <f>IF(AND(ISNUMBER(O1214),ISNUMBER(P1214),O1214&gt;0),ROUND((O1214-P1214)/O1214*100,1),"")</f>
        <v/>
      </c>
    </row>
    <row r="1215">
      <c r="Q1215">
        <f>IF(AND(ISNUMBER(O1215),ISNUMBER(P1215),O1215&gt;0),ROUND((O1215-P1215)/O1215*100,1),"")</f>
        <v/>
      </c>
    </row>
    <row r="1216">
      <c r="Q1216">
        <f>IF(AND(ISNUMBER(O1216),ISNUMBER(P1216),O1216&gt;0),ROUND((O1216-P1216)/O1216*100,1),"")</f>
        <v/>
      </c>
    </row>
    <row r="1217">
      <c r="Q1217">
        <f>IF(AND(ISNUMBER(O1217),ISNUMBER(P1217),O1217&gt;0),ROUND((O1217-P1217)/O1217*100,1),"")</f>
        <v/>
      </c>
    </row>
    <row r="1218">
      <c r="Q1218">
        <f>IF(AND(ISNUMBER(O1218),ISNUMBER(P1218),O1218&gt;0),ROUND((O1218-P1218)/O1218*100,1),"")</f>
        <v/>
      </c>
    </row>
    <row r="1219">
      <c r="Q1219">
        <f>IF(AND(ISNUMBER(O1219),ISNUMBER(P1219),O1219&gt;0),ROUND((O1219-P1219)/O1219*100,1),"")</f>
        <v/>
      </c>
    </row>
    <row r="1220">
      <c r="Q1220">
        <f>IF(AND(ISNUMBER(O1220),ISNUMBER(P1220),O1220&gt;0),ROUND((O1220-P1220)/O1220*100,1),"")</f>
        <v/>
      </c>
    </row>
    <row r="1221">
      <c r="Q1221">
        <f>IF(AND(ISNUMBER(O1221),ISNUMBER(P1221),O1221&gt;0),ROUND((O1221-P1221)/O1221*100,1),"")</f>
        <v/>
      </c>
    </row>
    <row r="1222">
      <c r="Q1222">
        <f>IF(AND(ISNUMBER(O1222),ISNUMBER(P1222),O1222&gt;0),ROUND((O1222-P1222)/O1222*100,1),"")</f>
        <v/>
      </c>
    </row>
    <row r="1223">
      <c r="Q1223">
        <f>IF(AND(ISNUMBER(O1223),ISNUMBER(P1223),O1223&gt;0),ROUND((O1223-P1223)/O1223*100,1),"")</f>
        <v/>
      </c>
    </row>
    <row r="1224">
      <c r="Q1224">
        <f>IF(AND(ISNUMBER(O1224),ISNUMBER(P1224),O1224&gt;0),ROUND((O1224-P1224)/O1224*100,1),"")</f>
        <v/>
      </c>
    </row>
    <row r="1225">
      <c r="Q1225">
        <f>IF(AND(ISNUMBER(O1225),ISNUMBER(P1225),O1225&gt;0),ROUND((O1225-P1225)/O1225*100,1),"")</f>
        <v/>
      </c>
    </row>
    <row r="1226">
      <c r="Q1226">
        <f>IF(AND(ISNUMBER(O1226),ISNUMBER(P1226),O1226&gt;0),ROUND((O1226-P1226)/O1226*100,1),"")</f>
        <v/>
      </c>
    </row>
    <row r="1227">
      <c r="Q1227">
        <f>IF(AND(ISNUMBER(O1227),ISNUMBER(P1227),O1227&gt;0),ROUND((O1227-P1227)/O1227*100,1),"")</f>
        <v/>
      </c>
    </row>
    <row r="1228">
      <c r="Q1228">
        <f>IF(AND(ISNUMBER(O1228),ISNUMBER(P1228),O1228&gt;0),ROUND((O1228-P1228)/O1228*100,1),"")</f>
        <v/>
      </c>
    </row>
    <row r="1229">
      <c r="Q1229">
        <f>IF(AND(ISNUMBER(O1229),ISNUMBER(P1229),O1229&gt;0),ROUND((O1229-P1229)/O1229*100,1),"")</f>
        <v/>
      </c>
    </row>
    <row r="1230">
      <c r="Q1230">
        <f>IF(AND(ISNUMBER(O1230),ISNUMBER(P1230),O1230&gt;0),ROUND((O1230-P1230)/O1230*100,1),"")</f>
        <v/>
      </c>
    </row>
    <row r="1231">
      <c r="Q1231">
        <f>IF(AND(ISNUMBER(O1231),ISNUMBER(P1231),O1231&gt;0),ROUND((O1231-P1231)/O1231*100,1),"")</f>
        <v/>
      </c>
    </row>
    <row r="1232">
      <c r="Q1232">
        <f>IF(AND(ISNUMBER(O1232),ISNUMBER(P1232),O1232&gt;0),ROUND((O1232-P1232)/O1232*100,1),"")</f>
        <v/>
      </c>
    </row>
    <row r="1233">
      <c r="Q1233">
        <f>IF(AND(ISNUMBER(O1233),ISNUMBER(P1233),O1233&gt;0),ROUND((O1233-P1233)/O1233*100,1),"")</f>
        <v/>
      </c>
    </row>
    <row r="1234">
      <c r="Q1234">
        <f>IF(AND(ISNUMBER(O1234),ISNUMBER(P1234),O1234&gt;0),ROUND((O1234-P1234)/O1234*100,1),"")</f>
        <v/>
      </c>
    </row>
    <row r="1235">
      <c r="Q1235">
        <f>IF(AND(ISNUMBER(O1235),ISNUMBER(P1235),O1235&gt;0),ROUND((O1235-P1235)/O1235*100,1),"")</f>
        <v/>
      </c>
    </row>
    <row r="1236">
      <c r="Q1236">
        <f>IF(AND(ISNUMBER(O1236),ISNUMBER(P1236),O1236&gt;0),ROUND((O1236-P1236)/O1236*100,1),"")</f>
        <v/>
      </c>
    </row>
    <row r="1237">
      <c r="Q1237">
        <f>IF(AND(ISNUMBER(O1237),ISNUMBER(P1237),O1237&gt;0),ROUND((O1237-P1237)/O1237*100,1),"")</f>
        <v/>
      </c>
    </row>
    <row r="1238">
      <c r="Q1238">
        <f>IF(AND(ISNUMBER(O1238),ISNUMBER(P1238),O1238&gt;0),ROUND((O1238-P1238)/O1238*100,1),"")</f>
        <v/>
      </c>
    </row>
    <row r="1239">
      <c r="Q1239">
        <f>IF(AND(ISNUMBER(O1239),ISNUMBER(P1239),O1239&gt;0),ROUND((O1239-P1239)/O1239*100,1),"")</f>
        <v/>
      </c>
    </row>
    <row r="1240">
      <c r="Q1240">
        <f>IF(AND(ISNUMBER(O1240),ISNUMBER(P1240),O1240&gt;0),ROUND((O1240-P1240)/O1240*100,1),"")</f>
        <v/>
      </c>
    </row>
    <row r="1241">
      <c r="Q1241">
        <f>IF(AND(ISNUMBER(O1241),ISNUMBER(P1241),O1241&gt;0),ROUND((O1241-P1241)/O1241*100,1),"")</f>
        <v/>
      </c>
    </row>
    <row r="1242">
      <c r="Q1242">
        <f>IF(AND(ISNUMBER(O1242),ISNUMBER(P1242),O1242&gt;0),ROUND((O1242-P1242)/O1242*100,1),"")</f>
        <v/>
      </c>
    </row>
    <row r="1243">
      <c r="Q1243">
        <f>IF(AND(ISNUMBER(O1243),ISNUMBER(P1243),O1243&gt;0),ROUND((O1243-P1243)/O1243*100,1),"")</f>
        <v/>
      </c>
    </row>
    <row r="1244">
      <c r="Q1244">
        <f>IF(AND(ISNUMBER(O1244),ISNUMBER(P1244),O1244&gt;0),ROUND((O1244-P1244)/O1244*100,1),"")</f>
        <v/>
      </c>
    </row>
    <row r="1245">
      <c r="Q1245">
        <f>IF(AND(ISNUMBER(O1245),ISNUMBER(P1245),O1245&gt;0),ROUND((O1245-P1245)/O1245*100,1),"")</f>
        <v/>
      </c>
    </row>
    <row r="1246">
      <c r="Q1246">
        <f>IF(AND(ISNUMBER(O1246),ISNUMBER(P1246),O1246&gt;0),ROUND((O1246-P1246)/O1246*100,1),"")</f>
        <v/>
      </c>
    </row>
    <row r="1247">
      <c r="Q1247">
        <f>IF(AND(ISNUMBER(O1247),ISNUMBER(P1247),O1247&gt;0),ROUND((O1247-P1247)/O1247*100,1),"")</f>
        <v/>
      </c>
    </row>
    <row r="1248">
      <c r="Q1248">
        <f>IF(AND(ISNUMBER(O1248),ISNUMBER(P1248),O1248&gt;0),ROUND((O1248-P1248)/O1248*100,1),"")</f>
        <v/>
      </c>
    </row>
    <row r="1249">
      <c r="Q1249">
        <f>IF(AND(ISNUMBER(O1249),ISNUMBER(P1249),O1249&gt;0),ROUND((O1249-P1249)/O1249*100,1),"")</f>
        <v/>
      </c>
    </row>
    <row r="1250">
      <c r="Q1250">
        <f>IF(AND(ISNUMBER(O1250),ISNUMBER(P1250),O1250&gt;0),ROUND((O1250-P1250)/O1250*100,1),"")</f>
        <v/>
      </c>
    </row>
    <row r="1251">
      <c r="Q1251">
        <f>IF(AND(ISNUMBER(O1251),ISNUMBER(P1251),O1251&gt;0),ROUND((O1251-P1251)/O1251*100,1),"")</f>
        <v/>
      </c>
    </row>
    <row r="1252">
      <c r="Q1252">
        <f>IF(AND(ISNUMBER(O1252),ISNUMBER(P1252),O1252&gt;0),ROUND((O1252-P1252)/O1252*100,1),"")</f>
        <v/>
      </c>
    </row>
    <row r="1253">
      <c r="Q1253">
        <f>IF(AND(ISNUMBER(O1253),ISNUMBER(P1253),O1253&gt;0),ROUND((O1253-P1253)/O1253*100,1),"")</f>
        <v/>
      </c>
    </row>
    <row r="1254">
      <c r="Q1254">
        <f>IF(AND(ISNUMBER(O1254),ISNUMBER(P1254),O1254&gt;0),ROUND((O1254-P1254)/O1254*100,1),"")</f>
        <v/>
      </c>
    </row>
    <row r="1255">
      <c r="Q1255">
        <f>IF(AND(ISNUMBER(O1255),ISNUMBER(P1255),O1255&gt;0),ROUND((O1255-P1255)/O1255*100,1),"")</f>
        <v/>
      </c>
    </row>
    <row r="1256">
      <c r="Q1256">
        <f>IF(AND(ISNUMBER(O1256),ISNUMBER(P1256),O1256&gt;0),ROUND((O1256-P1256)/O1256*100,1),"")</f>
        <v/>
      </c>
    </row>
    <row r="1257">
      <c r="Q1257">
        <f>IF(AND(ISNUMBER(O1257),ISNUMBER(P1257),O1257&gt;0),ROUND((O1257-P1257)/O1257*100,1),"")</f>
        <v/>
      </c>
    </row>
    <row r="1258">
      <c r="Q1258">
        <f>IF(AND(ISNUMBER(O1258),ISNUMBER(P1258),O1258&gt;0),ROUND((O1258-P1258)/O1258*100,1),"")</f>
        <v/>
      </c>
    </row>
    <row r="1259">
      <c r="Q1259">
        <f>IF(AND(ISNUMBER(O1259),ISNUMBER(P1259),O1259&gt;0),ROUND((O1259-P1259)/O1259*100,1),"")</f>
        <v/>
      </c>
    </row>
    <row r="1260">
      <c r="Q1260">
        <f>IF(AND(ISNUMBER(O1260),ISNUMBER(P1260),O1260&gt;0),ROUND((O1260-P1260)/O1260*100,1),"")</f>
        <v/>
      </c>
    </row>
    <row r="1261">
      <c r="Q1261">
        <f>IF(AND(ISNUMBER(O1261),ISNUMBER(P1261),O1261&gt;0),ROUND((O1261-P1261)/O1261*100,1),"")</f>
        <v/>
      </c>
    </row>
    <row r="1262">
      <c r="Q1262">
        <f>IF(AND(ISNUMBER(O1262),ISNUMBER(P1262),O1262&gt;0),ROUND((O1262-P1262)/O1262*100,1),"")</f>
        <v/>
      </c>
    </row>
    <row r="1263">
      <c r="Q1263">
        <f>IF(AND(ISNUMBER(O1263),ISNUMBER(P1263),O1263&gt;0),ROUND((O1263-P1263)/O1263*100,1),"")</f>
        <v/>
      </c>
    </row>
    <row r="1264">
      <c r="Q1264">
        <f>IF(AND(ISNUMBER(O1264),ISNUMBER(P1264),O1264&gt;0),ROUND((O1264-P1264)/O1264*100,1),"")</f>
        <v/>
      </c>
    </row>
    <row r="1265">
      <c r="Q1265">
        <f>IF(AND(ISNUMBER(O1265),ISNUMBER(P1265),O1265&gt;0),ROUND((O1265-P1265)/O1265*100,1),"")</f>
        <v/>
      </c>
    </row>
    <row r="1266">
      <c r="Q1266">
        <f>IF(AND(ISNUMBER(O1266),ISNUMBER(P1266),O1266&gt;0),ROUND((O1266-P1266)/O1266*100,1),"")</f>
        <v/>
      </c>
    </row>
    <row r="1267">
      <c r="Q1267">
        <f>IF(AND(ISNUMBER(O1267),ISNUMBER(P1267),O1267&gt;0),ROUND((O1267-P1267)/O1267*100,1),"")</f>
        <v/>
      </c>
    </row>
    <row r="1268">
      <c r="Q1268">
        <f>IF(AND(ISNUMBER(O1268),ISNUMBER(P1268),O1268&gt;0),ROUND((O1268-P1268)/O1268*100,1),"")</f>
        <v/>
      </c>
    </row>
    <row r="1269">
      <c r="Q1269">
        <f>IF(AND(ISNUMBER(O1269),ISNUMBER(P1269),O1269&gt;0),ROUND((O1269-P1269)/O1269*100,1),"")</f>
        <v/>
      </c>
    </row>
    <row r="1270">
      <c r="Q1270">
        <f>IF(AND(ISNUMBER(O1270),ISNUMBER(P1270),O1270&gt;0),ROUND((O1270-P1270)/O1270*100,1),"")</f>
        <v/>
      </c>
    </row>
    <row r="1271">
      <c r="Q1271">
        <f>IF(AND(ISNUMBER(O1271),ISNUMBER(P1271),O1271&gt;0),ROUND((O1271-P1271)/O1271*100,1),"")</f>
        <v/>
      </c>
    </row>
    <row r="1272">
      <c r="Q1272">
        <f>IF(AND(ISNUMBER(O1272),ISNUMBER(P1272),O1272&gt;0),ROUND((O1272-P1272)/O1272*100,1),"")</f>
        <v/>
      </c>
    </row>
    <row r="1273">
      <c r="Q1273">
        <f>IF(AND(ISNUMBER(O1273),ISNUMBER(P1273),O1273&gt;0),ROUND((O1273-P1273)/O1273*100,1),"")</f>
        <v/>
      </c>
    </row>
    <row r="1274">
      <c r="Q1274">
        <f>IF(AND(ISNUMBER(O1274),ISNUMBER(P1274),O1274&gt;0),ROUND((O1274-P1274)/O1274*100,1),"")</f>
        <v/>
      </c>
    </row>
    <row r="1275">
      <c r="Q1275">
        <f>IF(AND(ISNUMBER(O1275),ISNUMBER(P1275),O1275&gt;0),ROUND((O1275-P1275)/O1275*100,1),"")</f>
        <v/>
      </c>
    </row>
    <row r="1276">
      <c r="Q1276">
        <f>IF(AND(ISNUMBER(O1276),ISNUMBER(P1276),O1276&gt;0),ROUND((O1276-P1276)/O1276*100,1),"")</f>
        <v/>
      </c>
    </row>
    <row r="1277">
      <c r="Q1277">
        <f>IF(AND(ISNUMBER(O1277),ISNUMBER(P1277),O1277&gt;0),ROUND((O1277-P1277)/O1277*100,1),"")</f>
        <v/>
      </c>
    </row>
    <row r="1278">
      <c r="Q1278">
        <f>IF(AND(ISNUMBER(O1278),ISNUMBER(P1278),O1278&gt;0),ROUND((O1278-P1278)/O1278*100,1),"")</f>
        <v/>
      </c>
    </row>
    <row r="1279">
      <c r="Q1279">
        <f>IF(AND(ISNUMBER(O1279),ISNUMBER(P1279),O1279&gt;0),ROUND((O1279-P1279)/O1279*100,1),"")</f>
        <v/>
      </c>
    </row>
    <row r="1280">
      <c r="Q1280">
        <f>IF(AND(ISNUMBER(O1280),ISNUMBER(P1280),O1280&gt;0),ROUND((O1280-P1280)/O1280*100,1),"")</f>
        <v/>
      </c>
    </row>
    <row r="1281">
      <c r="Q1281">
        <f>IF(AND(ISNUMBER(O1281),ISNUMBER(P1281),O1281&gt;0),ROUND((O1281-P1281)/O1281*100,1),"")</f>
        <v/>
      </c>
    </row>
    <row r="1282">
      <c r="Q1282">
        <f>IF(AND(ISNUMBER(O1282),ISNUMBER(P1282),O1282&gt;0),ROUND((O1282-P1282)/O1282*100,1),"")</f>
        <v/>
      </c>
    </row>
    <row r="1283">
      <c r="Q1283">
        <f>IF(AND(ISNUMBER(O1283),ISNUMBER(P1283),O1283&gt;0),ROUND((O1283-P1283)/O1283*100,1),"")</f>
        <v/>
      </c>
    </row>
    <row r="1284">
      <c r="Q1284">
        <f>IF(AND(ISNUMBER(O1284),ISNUMBER(P1284),O1284&gt;0),ROUND((O1284-P1284)/O1284*100,1),"")</f>
        <v/>
      </c>
    </row>
    <row r="1285">
      <c r="Q1285">
        <f>IF(AND(ISNUMBER(O1285),ISNUMBER(P1285),O1285&gt;0),ROUND((O1285-P1285)/O1285*100,1),"")</f>
        <v/>
      </c>
    </row>
    <row r="1286">
      <c r="Q1286">
        <f>IF(AND(ISNUMBER(O1286),ISNUMBER(P1286),O1286&gt;0),ROUND((O1286-P1286)/O1286*100,1),"")</f>
        <v/>
      </c>
    </row>
    <row r="1287">
      <c r="Q1287">
        <f>IF(AND(ISNUMBER(O1287),ISNUMBER(P1287),O1287&gt;0),ROUND((O1287-P1287)/O1287*100,1),"")</f>
        <v/>
      </c>
    </row>
    <row r="1288">
      <c r="Q1288">
        <f>IF(AND(ISNUMBER(O1288),ISNUMBER(P1288),O1288&gt;0),ROUND((O1288-P1288)/O1288*100,1),"")</f>
        <v/>
      </c>
    </row>
    <row r="1289">
      <c r="Q1289">
        <f>IF(AND(ISNUMBER(O1289),ISNUMBER(P1289),O1289&gt;0),ROUND((O1289-P1289)/O1289*100,1),"")</f>
        <v/>
      </c>
    </row>
    <row r="1290">
      <c r="Q1290">
        <f>IF(AND(ISNUMBER(O1290),ISNUMBER(P1290),O1290&gt;0),ROUND((O1290-P1290)/O1290*100,1),"")</f>
        <v/>
      </c>
    </row>
    <row r="1291">
      <c r="Q1291">
        <f>IF(AND(ISNUMBER(O1291),ISNUMBER(P1291),O1291&gt;0),ROUND((O1291-P1291)/O1291*100,1),"")</f>
        <v/>
      </c>
    </row>
    <row r="1292">
      <c r="Q1292">
        <f>IF(AND(ISNUMBER(O1292),ISNUMBER(P1292),O1292&gt;0),ROUND((O1292-P1292)/O1292*100,1),"")</f>
        <v/>
      </c>
    </row>
    <row r="1293">
      <c r="Q1293">
        <f>IF(AND(ISNUMBER(O1293),ISNUMBER(P1293),O1293&gt;0),ROUND((O1293-P1293)/O1293*100,1),"")</f>
        <v/>
      </c>
    </row>
    <row r="1294">
      <c r="Q1294">
        <f>IF(AND(ISNUMBER(O1294),ISNUMBER(P1294),O1294&gt;0),ROUND((O1294-P1294)/O1294*100,1),"")</f>
        <v/>
      </c>
    </row>
    <row r="1295">
      <c r="Q1295">
        <f>IF(AND(ISNUMBER(O1295),ISNUMBER(P1295),O1295&gt;0),ROUND((O1295-P1295)/O1295*100,1),"")</f>
        <v/>
      </c>
    </row>
    <row r="1296">
      <c r="Q1296">
        <f>IF(AND(ISNUMBER(O1296),ISNUMBER(P1296),O1296&gt;0),ROUND((O1296-P1296)/O1296*100,1),"")</f>
        <v/>
      </c>
    </row>
    <row r="1297">
      <c r="Q1297">
        <f>IF(AND(ISNUMBER(O1297),ISNUMBER(P1297),O1297&gt;0),ROUND((O1297-P1297)/O1297*100,1),"")</f>
        <v/>
      </c>
    </row>
    <row r="1298">
      <c r="Q1298">
        <f>IF(AND(ISNUMBER(O1298),ISNUMBER(P1298),O1298&gt;0),ROUND((O1298-P1298)/O1298*100,1),"")</f>
        <v/>
      </c>
    </row>
    <row r="1299">
      <c r="Q1299">
        <f>IF(AND(ISNUMBER(O1299),ISNUMBER(P1299),O1299&gt;0),ROUND((O1299-P1299)/O1299*100,1),"")</f>
        <v/>
      </c>
    </row>
    <row r="1300">
      <c r="Q1300">
        <f>IF(AND(ISNUMBER(O1300),ISNUMBER(P1300),O1300&gt;0),ROUND((O1300-P1300)/O1300*100,1),"")</f>
        <v/>
      </c>
    </row>
    <row r="1301">
      <c r="Q1301">
        <f>IF(AND(ISNUMBER(O1301),ISNUMBER(P1301),O1301&gt;0),ROUND((O1301-P1301)/O1301*100,1),"")</f>
        <v/>
      </c>
    </row>
    <row r="1302">
      <c r="Q1302">
        <f>IF(AND(ISNUMBER(O1302),ISNUMBER(P1302),O1302&gt;0),ROUND((O1302-P1302)/O1302*100,1),"")</f>
        <v/>
      </c>
    </row>
    <row r="1303">
      <c r="Q1303">
        <f>IF(AND(ISNUMBER(O1303),ISNUMBER(P1303),O1303&gt;0),ROUND((O1303-P1303)/O1303*100,1),"")</f>
        <v/>
      </c>
    </row>
    <row r="1304">
      <c r="Q1304">
        <f>IF(AND(ISNUMBER(O1304),ISNUMBER(P1304),O1304&gt;0),ROUND((O1304-P1304)/O1304*100,1),"")</f>
        <v/>
      </c>
    </row>
    <row r="1305">
      <c r="Q1305">
        <f>IF(AND(ISNUMBER(O1305),ISNUMBER(P1305),O1305&gt;0),ROUND((O1305-P1305)/O1305*100,1),"")</f>
        <v/>
      </c>
    </row>
    <row r="1306">
      <c r="Q1306">
        <f>IF(AND(ISNUMBER(O1306),ISNUMBER(P1306),O1306&gt;0),ROUND((O1306-P1306)/O1306*100,1),"")</f>
        <v/>
      </c>
    </row>
    <row r="1307">
      <c r="Q1307">
        <f>IF(AND(ISNUMBER(O1307),ISNUMBER(P1307),O1307&gt;0),ROUND((O1307-P1307)/O1307*100,1),"")</f>
        <v/>
      </c>
    </row>
    <row r="1308">
      <c r="Q1308">
        <f>IF(AND(ISNUMBER(O1308),ISNUMBER(P1308),O1308&gt;0),ROUND((O1308-P1308)/O1308*100,1),"")</f>
        <v/>
      </c>
    </row>
    <row r="1309">
      <c r="Q1309">
        <f>IF(AND(ISNUMBER(O1309),ISNUMBER(P1309),O1309&gt;0),ROUND((O1309-P1309)/O1309*100,1),"")</f>
        <v/>
      </c>
    </row>
    <row r="1310">
      <c r="Q1310">
        <f>IF(AND(ISNUMBER(O1310),ISNUMBER(P1310),O1310&gt;0),ROUND((O1310-P1310)/O1310*100,1),"")</f>
        <v/>
      </c>
    </row>
    <row r="1311">
      <c r="Q1311">
        <f>IF(AND(ISNUMBER(O1311),ISNUMBER(P1311),O1311&gt;0),ROUND((O1311-P1311)/O1311*100,1),"")</f>
        <v/>
      </c>
    </row>
    <row r="1312">
      <c r="Q1312">
        <f>IF(AND(ISNUMBER(O1312),ISNUMBER(P1312),O1312&gt;0),ROUND((O1312-P1312)/O1312*100,1),"")</f>
        <v/>
      </c>
    </row>
    <row r="1313">
      <c r="Q1313">
        <f>IF(AND(ISNUMBER(O1313),ISNUMBER(P1313),O1313&gt;0),ROUND((O1313-P1313)/O1313*100,1),"")</f>
        <v/>
      </c>
    </row>
    <row r="1314">
      <c r="Q1314">
        <f>IF(AND(ISNUMBER(O1314),ISNUMBER(P1314),O1314&gt;0),ROUND((O1314-P1314)/O1314*100,1),"")</f>
        <v/>
      </c>
    </row>
    <row r="1315">
      <c r="Q1315">
        <f>IF(AND(ISNUMBER(O1315),ISNUMBER(P1315),O1315&gt;0),ROUND((O1315-P1315)/O1315*100,1),"")</f>
        <v/>
      </c>
    </row>
    <row r="1316">
      <c r="Q1316">
        <f>IF(AND(ISNUMBER(O1316),ISNUMBER(P1316),O1316&gt;0),ROUND((O1316-P1316)/O1316*100,1),"")</f>
        <v/>
      </c>
    </row>
    <row r="1317">
      <c r="Q1317">
        <f>IF(AND(ISNUMBER(O1317),ISNUMBER(P1317),O1317&gt;0),ROUND((O1317-P1317)/O1317*100,1),"")</f>
        <v/>
      </c>
    </row>
    <row r="1318">
      <c r="Q1318">
        <f>IF(AND(ISNUMBER(O1318),ISNUMBER(P1318),O1318&gt;0),ROUND((O1318-P1318)/O1318*100,1),"")</f>
        <v/>
      </c>
    </row>
    <row r="1319">
      <c r="Q1319">
        <f>IF(AND(ISNUMBER(O1319),ISNUMBER(P1319),O1319&gt;0),ROUND((O1319-P1319)/O1319*100,1),"")</f>
        <v/>
      </c>
    </row>
    <row r="1320">
      <c r="Q1320">
        <f>IF(AND(ISNUMBER(O1320),ISNUMBER(P1320),O1320&gt;0),ROUND((O1320-P1320)/O1320*100,1),"")</f>
        <v/>
      </c>
    </row>
    <row r="1321">
      <c r="Q1321">
        <f>IF(AND(ISNUMBER(O1321),ISNUMBER(P1321),O1321&gt;0),ROUND((O1321-P1321)/O1321*100,1),"")</f>
        <v/>
      </c>
    </row>
    <row r="1322">
      <c r="Q1322">
        <f>IF(AND(ISNUMBER(O1322),ISNUMBER(P1322),O1322&gt;0),ROUND((O1322-P1322)/O1322*100,1),"")</f>
        <v/>
      </c>
    </row>
    <row r="1323">
      <c r="Q1323">
        <f>IF(AND(ISNUMBER(O1323),ISNUMBER(P1323),O1323&gt;0),ROUND((O1323-P1323)/O1323*100,1),"")</f>
        <v/>
      </c>
    </row>
    <row r="1324">
      <c r="Q1324">
        <f>IF(AND(ISNUMBER(O1324),ISNUMBER(P1324),O1324&gt;0),ROUND((O1324-P1324)/O1324*100,1),"")</f>
        <v/>
      </c>
    </row>
    <row r="1325">
      <c r="Q1325">
        <f>IF(AND(ISNUMBER(O1325),ISNUMBER(P1325),O1325&gt;0),ROUND((O1325-P1325)/O1325*100,1),"")</f>
        <v/>
      </c>
    </row>
    <row r="1326">
      <c r="Q1326">
        <f>IF(AND(ISNUMBER(O1326),ISNUMBER(P1326),O1326&gt;0),ROUND((O1326-P1326)/O1326*100,1),"")</f>
        <v/>
      </c>
    </row>
    <row r="1327">
      <c r="Q1327">
        <f>IF(AND(ISNUMBER(O1327),ISNUMBER(P1327),O1327&gt;0),ROUND((O1327-P1327)/O1327*100,1),"")</f>
        <v/>
      </c>
    </row>
    <row r="1328">
      <c r="Q1328">
        <f>IF(AND(ISNUMBER(O1328),ISNUMBER(P1328),O1328&gt;0),ROUND((O1328-P1328)/O1328*100,1),"")</f>
        <v/>
      </c>
    </row>
    <row r="1329">
      <c r="Q1329">
        <f>IF(AND(ISNUMBER(O1329),ISNUMBER(P1329),O1329&gt;0),ROUND((O1329-P1329)/O1329*100,1),"")</f>
        <v/>
      </c>
    </row>
    <row r="1330">
      <c r="Q1330">
        <f>IF(AND(ISNUMBER(O1330),ISNUMBER(P1330),O1330&gt;0),ROUND((O1330-P1330)/O1330*100,1),"")</f>
        <v/>
      </c>
    </row>
    <row r="1331">
      <c r="Q1331">
        <f>IF(AND(ISNUMBER(O1331),ISNUMBER(P1331),O1331&gt;0),ROUND((O1331-P1331)/O1331*100,1),"")</f>
        <v/>
      </c>
    </row>
    <row r="1332">
      <c r="Q1332">
        <f>IF(AND(ISNUMBER(O1332),ISNUMBER(P1332),O1332&gt;0),ROUND((O1332-P1332)/O1332*100,1),"")</f>
        <v/>
      </c>
    </row>
    <row r="1333">
      <c r="Q1333">
        <f>IF(AND(ISNUMBER(O1333),ISNUMBER(P1333),O1333&gt;0),ROUND((O1333-P1333)/O1333*100,1),"")</f>
        <v/>
      </c>
    </row>
    <row r="1334">
      <c r="Q1334">
        <f>IF(AND(ISNUMBER(O1334),ISNUMBER(P1334),O1334&gt;0),ROUND((O1334-P1334)/O1334*100,1),"")</f>
        <v/>
      </c>
    </row>
    <row r="1335">
      <c r="Q1335">
        <f>IF(AND(ISNUMBER(O1335),ISNUMBER(P1335),O1335&gt;0),ROUND((O1335-P1335)/O1335*100,1),"")</f>
        <v/>
      </c>
    </row>
    <row r="1336">
      <c r="Q1336">
        <f>IF(AND(ISNUMBER(O1336),ISNUMBER(P1336),O1336&gt;0),ROUND((O1336-P1336)/O1336*100,1),"")</f>
        <v/>
      </c>
    </row>
    <row r="1337">
      <c r="Q1337">
        <f>IF(AND(ISNUMBER(O1337),ISNUMBER(P1337),O1337&gt;0),ROUND((O1337-P1337)/O1337*100,1),"")</f>
        <v/>
      </c>
    </row>
    <row r="1338">
      <c r="Q1338">
        <f>IF(AND(ISNUMBER(O1338),ISNUMBER(P1338),O1338&gt;0),ROUND((O1338-P1338)/O1338*100,1),"")</f>
        <v/>
      </c>
    </row>
    <row r="1339">
      <c r="Q1339">
        <f>IF(AND(ISNUMBER(O1339),ISNUMBER(P1339),O1339&gt;0),ROUND((O1339-P1339)/O1339*100,1),"")</f>
        <v/>
      </c>
    </row>
    <row r="1340">
      <c r="Q1340">
        <f>IF(AND(ISNUMBER(O1340),ISNUMBER(P1340),O1340&gt;0),ROUND((O1340-P1340)/O1340*100,1),"")</f>
        <v/>
      </c>
    </row>
    <row r="1341">
      <c r="Q1341">
        <f>IF(AND(ISNUMBER(O1341),ISNUMBER(P1341),O1341&gt;0),ROUND((O1341-P1341)/O1341*100,1),"")</f>
        <v/>
      </c>
    </row>
    <row r="1342">
      <c r="Q1342">
        <f>IF(AND(ISNUMBER(O1342),ISNUMBER(P1342),O1342&gt;0),ROUND((O1342-P1342)/O1342*100,1),"")</f>
        <v/>
      </c>
    </row>
    <row r="1343">
      <c r="Q1343">
        <f>IF(AND(ISNUMBER(O1343),ISNUMBER(P1343),O1343&gt;0),ROUND((O1343-P1343)/O1343*100,1),"")</f>
        <v/>
      </c>
    </row>
    <row r="1344">
      <c r="Q1344">
        <f>IF(AND(ISNUMBER(O1344),ISNUMBER(P1344),O1344&gt;0),ROUND((O1344-P1344)/O1344*100,1),"")</f>
        <v/>
      </c>
    </row>
    <row r="1345">
      <c r="Q1345">
        <f>IF(AND(ISNUMBER(O1345),ISNUMBER(P1345),O1345&gt;0),ROUND((O1345-P1345)/O1345*100,1),"")</f>
        <v/>
      </c>
    </row>
    <row r="1346">
      <c r="Q1346">
        <f>IF(AND(ISNUMBER(O1346),ISNUMBER(P1346),O1346&gt;0),ROUND((O1346-P1346)/O1346*100,1),"")</f>
        <v/>
      </c>
    </row>
    <row r="1347">
      <c r="Q1347">
        <f>IF(AND(ISNUMBER(O1347),ISNUMBER(P1347),O1347&gt;0),ROUND((O1347-P1347)/O1347*100,1),"")</f>
        <v/>
      </c>
    </row>
    <row r="1348">
      <c r="Q1348">
        <f>IF(AND(ISNUMBER(O1348),ISNUMBER(P1348),O1348&gt;0),ROUND((O1348-P1348)/O1348*100,1),"")</f>
        <v/>
      </c>
    </row>
    <row r="1349">
      <c r="Q1349">
        <f>IF(AND(ISNUMBER(O1349),ISNUMBER(P1349),O1349&gt;0),ROUND((O1349-P1349)/O1349*100,1),"")</f>
        <v/>
      </c>
    </row>
    <row r="1350">
      <c r="Q1350">
        <f>IF(AND(ISNUMBER(O1350),ISNUMBER(P1350),O1350&gt;0),ROUND((O1350-P1350)/O1350*100,1),"")</f>
        <v/>
      </c>
    </row>
    <row r="1351">
      <c r="Q1351">
        <f>IF(AND(ISNUMBER(O1351),ISNUMBER(P1351),O1351&gt;0),ROUND((O1351-P1351)/O1351*100,1),"")</f>
        <v/>
      </c>
    </row>
    <row r="1352">
      <c r="Q1352">
        <f>IF(AND(ISNUMBER(O1352),ISNUMBER(P1352),O1352&gt;0),ROUND((O1352-P1352)/O1352*100,1),"")</f>
        <v/>
      </c>
    </row>
    <row r="1353">
      <c r="Q1353">
        <f>IF(AND(ISNUMBER(O1353),ISNUMBER(P1353),O1353&gt;0),ROUND((O1353-P1353)/O1353*100,1),"")</f>
        <v/>
      </c>
    </row>
    <row r="1354">
      <c r="Q1354">
        <f>IF(AND(ISNUMBER(O1354),ISNUMBER(P1354),O1354&gt;0),ROUND((O1354-P1354)/O1354*100,1),"")</f>
        <v/>
      </c>
    </row>
    <row r="1355">
      <c r="Q1355">
        <f>IF(AND(ISNUMBER(O1355),ISNUMBER(P1355),O1355&gt;0),ROUND((O1355-P1355)/O1355*100,1),"")</f>
        <v/>
      </c>
    </row>
    <row r="1356">
      <c r="Q1356">
        <f>IF(AND(ISNUMBER(O1356),ISNUMBER(P1356),O1356&gt;0),ROUND((O1356-P1356)/O1356*100,1),"")</f>
        <v/>
      </c>
    </row>
    <row r="1357">
      <c r="Q1357">
        <f>IF(AND(ISNUMBER(O1357),ISNUMBER(P1357),O1357&gt;0),ROUND((O1357-P1357)/O1357*100,1),"")</f>
        <v/>
      </c>
    </row>
    <row r="1358">
      <c r="Q1358">
        <f>IF(AND(ISNUMBER(O1358),ISNUMBER(P1358),O1358&gt;0),ROUND((O1358-P1358)/O1358*100,1),"")</f>
        <v/>
      </c>
    </row>
    <row r="1359">
      <c r="Q1359">
        <f>IF(AND(ISNUMBER(O1359),ISNUMBER(P1359),O1359&gt;0),ROUND((O1359-P1359)/O1359*100,1),"")</f>
        <v/>
      </c>
    </row>
    <row r="1360">
      <c r="Q1360">
        <f>IF(AND(ISNUMBER(O1360),ISNUMBER(P1360),O1360&gt;0),ROUND((O1360-P1360)/O1360*100,1),"")</f>
        <v/>
      </c>
    </row>
    <row r="1361">
      <c r="Q1361">
        <f>IF(AND(ISNUMBER(O1361),ISNUMBER(P1361),O1361&gt;0),ROUND((O1361-P1361)/O1361*100,1),"")</f>
        <v/>
      </c>
    </row>
    <row r="1362">
      <c r="Q1362">
        <f>IF(AND(ISNUMBER(O1362),ISNUMBER(P1362),O1362&gt;0),ROUND((O1362-P1362)/O1362*100,1),"")</f>
        <v/>
      </c>
    </row>
    <row r="1363">
      <c r="Q1363">
        <f>IF(AND(ISNUMBER(O1363),ISNUMBER(P1363),O1363&gt;0),ROUND((O1363-P1363)/O1363*100,1),"")</f>
        <v/>
      </c>
    </row>
    <row r="1364">
      <c r="Q1364">
        <f>IF(AND(ISNUMBER(O1364),ISNUMBER(P1364),O1364&gt;0),ROUND((O1364-P1364)/O1364*100,1),"")</f>
        <v/>
      </c>
    </row>
    <row r="1365">
      <c r="Q1365">
        <f>IF(AND(ISNUMBER(O1365),ISNUMBER(P1365),O1365&gt;0),ROUND((O1365-P1365)/O1365*100,1),"")</f>
        <v/>
      </c>
    </row>
    <row r="1366">
      <c r="Q1366">
        <f>IF(AND(ISNUMBER(O1366),ISNUMBER(P1366),O1366&gt;0),ROUND((O1366-P1366)/O1366*100,1),"")</f>
        <v/>
      </c>
    </row>
    <row r="1367">
      <c r="Q1367">
        <f>IF(AND(ISNUMBER(O1367),ISNUMBER(P1367),O1367&gt;0),ROUND((O1367-P1367)/O1367*100,1),"")</f>
        <v/>
      </c>
    </row>
    <row r="1368">
      <c r="Q1368">
        <f>IF(AND(ISNUMBER(O1368),ISNUMBER(P1368),O1368&gt;0),ROUND((O1368-P1368)/O1368*100,1),"")</f>
        <v/>
      </c>
    </row>
    <row r="1369">
      <c r="Q1369">
        <f>IF(AND(ISNUMBER(O1369),ISNUMBER(P1369),O1369&gt;0),ROUND((O1369-P1369)/O1369*100,1),"")</f>
        <v/>
      </c>
    </row>
    <row r="1370">
      <c r="Q1370">
        <f>IF(AND(ISNUMBER(O1370),ISNUMBER(P1370),O1370&gt;0),ROUND((O1370-P1370)/O1370*100,1),"")</f>
        <v/>
      </c>
    </row>
    <row r="1371">
      <c r="Q1371">
        <f>IF(AND(ISNUMBER(O1371),ISNUMBER(P1371),O1371&gt;0),ROUND((O1371-P1371)/O1371*100,1),"")</f>
        <v/>
      </c>
    </row>
    <row r="1372">
      <c r="Q1372">
        <f>IF(AND(ISNUMBER(O1372),ISNUMBER(P1372),O1372&gt;0),ROUND((O1372-P1372)/O1372*100,1),"")</f>
        <v/>
      </c>
    </row>
    <row r="1373">
      <c r="Q1373">
        <f>IF(AND(ISNUMBER(O1373),ISNUMBER(P1373),O1373&gt;0),ROUND((O1373-P1373)/O1373*100,1),"")</f>
        <v/>
      </c>
    </row>
    <row r="1374">
      <c r="Q1374">
        <f>IF(AND(ISNUMBER(O1374),ISNUMBER(P1374),O1374&gt;0),ROUND((O1374-P1374)/O1374*100,1),"")</f>
        <v/>
      </c>
    </row>
    <row r="1375">
      <c r="Q1375">
        <f>IF(AND(ISNUMBER(O1375),ISNUMBER(P1375),O1375&gt;0),ROUND((O1375-P1375)/O1375*100,1),"")</f>
        <v/>
      </c>
    </row>
    <row r="1376">
      <c r="Q1376">
        <f>IF(AND(ISNUMBER(O1376),ISNUMBER(P1376),O1376&gt;0),ROUND((O1376-P1376)/O1376*100,1),"")</f>
        <v/>
      </c>
    </row>
    <row r="1377">
      <c r="Q1377">
        <f>IF(AND(ISNUMBER(O1377),ISNUMBER(P1377),O1377&gt;0),ROUND((O1377-P1377)/O1377*100,1),"")</f>
        <v/>
      </c>
    </row>
    <row r="1378">
      <c r="Q1378">
        <f>IF(AND(ISNUMBER(O1378),ISNUMBER(P1378),O1378&gt;0),ROUND((O1378-P1378)/O1378*100,1),"")</f>
        <v/>
      </c>
    </row>
    <row r="1379">
      <c r="Q1379">
        <f>IF(AND(ISNUMBER(O1379),ISNUMBER(P1379),O1379&gt;0),ROUND((O1379-P1379)/O1379*100,1),"")</f>
        <v/>
      </c>
    </row>
    <row r="1380">
      <c r="Q1380">
        <f>IF(AND(ISNUMBER(O1380),ISNUMBER(P1380),O1380&gt;0),ROUND((O1380-P1380)/O1380*100,1),"")</f>
        <v/>
      </c>
    </row>
    <row r="1381">
      <c r="Q1381">
        <f>IF(AND(ISNUMBER(O1381),ISNUMBER(P1381),O1381&gt;0),ROUND((O1381-P1381)/O1381*100,1),"")</f>
        <v/>
      </c>
    </row>
    <row r="1382">
      <c r="Q1382">
        <f>IF(AND(ISNUMBER(O1382),ISNUMBER(P1382),O1382&gt;0),ROUND((O1382-P1382)/O1382*100,1),"")</f>
        <v/>
      </c>
    </row>
    <row r="1383">
      <c r="Q1383">
        <f>IF(AND(ISNUMBER(O1383),ISNUMBER(P1383),O1383&gt;0),ROUND((O1383-P1383)/O1383*100,1),"")</f>
        <v/>
      </c>
    </row>
    <row r="1384">
      <c r="Q1384">
        <f>IF(AND(ISNUMBER(O1384),ISNUMBER(P1384),O1384&gt;0),ROUND((O1384-P1384)/O1384*100,1),"")</f>
        <v/>
      </c>
    </row>
    <row r="1385">
      <c r="Q1385">
        <f>IF(AND(ISNUMBER(O1385),ISNUMBER(P1385),O1385&gt;0),ROUND((O1385-P1385)/O1385*100,1),"")</f>
        <v/>
      </c>
    </row>
    <row r="1386">
      <c r="Q1386">
        <f>IF(AND(ISNUMBER(O1386),ISNUMBER(P1386),O1386&gt;0),ROUND((O1386-P1386)/O1386*100,1),"")</f>
        <v/>
      </c>
    </row>
    <row r="1387">
      <c r="Q1387">
        <f>IF(AND(ISNUMBER(O1387),ISNUMBER(P1387),O1387&gt;0),ROUND((O1387-P1387)/O1387*100,1),"")</f>
        <v/>
      </c>
    </row>
    <row r="1388">
      <c r="Q1388">
        <f>IF(AND(ISNUMBER(O1388),ISNUMBER(P1388),O1388&gt;0),ROUND((O1388-P1388)/O1388*100,1),"")</f>
        <v/>
      </c>
    </row>
    <row r="1389">
      <c r="Q1389">
        <f>IF(AND(ISNUMBER(O1389),ISNUMBER(P1389),O1389&gt;0),ROUND((O1389-P1389)/O1389*100,1),"")</f>
        <v/>
      </c>
    </row>
    <row r="1390">
      <c r="Q1390">
        <f>IF(AND(ISNUMBER(O1390),ISNUMBER(P1390),O1390&gt;0),ROUND((O1390-P1390)/O1390*100,1),"")</f>
        <v/>
      </c>
    </row>
    <row r="1391">
      <c r="Q1391">
        <f>IF(AND(ISNUMBER(O1391),ISNUMBER(P1391),O1391&gt;0),ROUND((O1391-P1391)/O1391*100,1),"")</f>
        <v/>
      </c>
    </row>
    <row r="1392">
      <c r="Q1392">
        <f>IF(AND(ISNUMBER(O1392),ISNUMBER(P1392),O1392&gt;0),ROUND((O1392-P1392)/O1392*100,1),"")</f>
        <v/>
      </c>
    </row>
    <row r="1393">
      <c r="Q1393">
        <f>IF(AND(ISNUMBER(O1393),ISNUMBER(P1393),O1393&gt;0),ROUND((O1393-P1393)/O1393*100,1),"")</f>
        <v/>
      </c>
    </row>
    <row r="1394">
      <c r="Q1394">
        <f>IF(AND(ISNUMBER(O1394),ISNUMBER(P1394),O1394&gt;0),ROUND((O1394-P1394)/O1394*100,1),"")</f>
        <v/>
      </c>
    </row>
    <row r="1395">
      <c r="Q1395">
        <f>IF(AND(ISNUMBER(O1395),ISNUMBER(P1395),O1395&gt;0),ROUND((O1395-P1395)/O1395*100,1),"")</f>
        <v/>
      </c>
    </row>
    <row r="1396">
      <c r="Q1396">
        <f>IF(AND(ISNUMBER(O1396),ISNUMBER(P1396),O1396&gt;0),ROUND((O1396-P1396)/O1396*100,1),"")</f>
        <v/>
      </c>
    </row>
    <row r="1397">
      <c r="Q1397">
        <f>IF(AND(ISNUMBER(O1397),ISNUMBER(P1397),O1397&gt;0),ROUND((O1397-P1397)/O1397*100,1),"")</f>
        <v/>
      </c>
    </row>
    <row r="1398">
      <c r="Q1398">
        <f>IF(AND(ISNUMBER(O1398),ISNUMBER(P1398),O1398&gt;0),ROUND((O1398-P1398)/O1398*100,1),"")</f>
        <v/>
      </c>
    </row>
    <row r="1399">
      <c r="Q1399">
        <f>IF(AND(ISNUMBER(O1399),ISNUMBER(P1399),O1399&gt;0),ROUND((O1399-P1399)/O1399*100,1),"")</f>
        <v/>
      </c>
    </row>
    <row r="1400">
      <c r="Q1400">
        <f>IF(AND(ISNUMBER(O1400),ISNUMBER(P1400),O1400&gt;0),ROUND((O1400-P1400)/O1400*100,1),"")</f>
        <v/>
      </c>
    </row>
    <row r="1401">
      <c r="Q1401">
        <f>IF(AND(ISNUMBER(O1401),ISNUMBER(P1401),O1401&gt;0),ROUND((O1401-P1401)/O1401*100,1),"")</f>
        <v/>
      </c>
    </row>
    <row r="1402">
      <c r="Q1402">
        <f>IF(AND(ISNUMBER(O1402),ISNUMBER(P1402),O1402&gt;0),ROUND((O1402-P1402)/O1402*100,1),"")</f>
        <v/>
      </c>
    </row>
    <row r="1403">
      <c r="Q1403">
        <f>IF(AND(ISNUMBER(O1403),ISNUMBER(P1403),O1403&gt;0),ROUND((O1403-P1403)/O1403*100,1),"")</f>
        <v/>
      </c>
    </row>
    <row r="1404">
      <c r="Q1404">
        <f>IF(AND(ISNUMBER(O1404),ISNUMBER(P1404),O1404&gt;0),ROUND((O1404-P1404)/O1404*100,1),"")</f>
        <v/>
      </c>
    </row>
    <row r="1405">
      <c r="Q1405">
        <f>IF(AND(ISNUMBER(O1405),ISNUMBER(P1405),O1405&gt;0),ROUND((O1405-P1405)/O1405*100,1),"")</f>
        <v/>
      </c>
    </row>
    <row r="1406">
      <c r="Q1406">
        <f>IF(AND(ISNUMBER(O1406),ISNUMBER(P1406),O1406&gt;0),ROUND((O1406-P1406)/O1406*100,1),"")</f>
        <v/>
      </c>
    </row>
    <row r="1407">
      <c r="Q1407">
        <f>IF(AND(ISNUMBER(O1407),ISNUMBER(P1407),O1407&gt;0),ROUND((O1407-P1407)/O1407*100,1),"")</f>
        <v/>
      </c>
    </row>
    <row r="1408">
      <c r="Q1408">
        <f>IF(AND(ISNUMBER(O1408),ISNUMBER(P1408),O1408&gt;0),ROUND((O1408-P1408)/O1408*100,1),"")</f>
        <v/>
      </c>
    </row>
    <row r="1409">
      <c r="Q1409">
        <f>IF(AND(ISNUMBER(O1409),ISNUMBER(P1409),O1409&gt;0),ROUND((O1409-P1409)/O1409*100,1),"")</f>
        <v/>
      </c>
    </row>
    <row r="1410">
      <c r="Q1410">
        <f>IF(AND(ISNUMBER(O1410),ISNUMBER(P1410),O1410&gt;0),ROUND((O1410-P1410)/O1410*100,1),"")</f>
        <v/>
      </c>
    </row>
    <row r="1411">
      <c r="Q1411">
        <f>IF(AND(ISNUMBER(O1411),ISNUMBER(P1411),O1411&gt;0),ROUND((O1411-P1411)/O1411*100,1),"")</f>
        <v/>
      </c>
    </row>
    <row r="1412">
      <c r="Q1412">
        <f>IF(AND(ISNUMBER(O1412),ISNUMBER(P1412),O1412&gt;0),ROUND((O1412-P1412)/O1412*100,1),"")</f>
        <v/>
      </c>
    </row>
    <row r="1413">
      <c r="Q1413">
        <f>IF(AND(ISNUMBER(O1413),ISNUMBER(P1413),O1413&gt;0),ROUND((O1413-P1413)/O1413*100,1),"")</f>
        <v/>
      </c>
    </row>
    <row r="1414">
      <c r="Q1414">
        <f>IF(AND(ISNUMBER(O1414),ISNUMBER(P1414),O1414&gt;0),ROUND((O1414-P1414)/O1414*100,1),"")</f>
        <v/>
      </c>
    </row>
    <row r="1415">
      <c r="Q1415">
        <f>IF(AND(ISNUMBER(O1415),ISNUMBER(P1415),O1415&gt;0),ROUND((O1415-P1415)/O1415*100,1),"")</f>
        <v/>
      </c>
    </row>
    <row r="1416">
      <c r="Q1416">
        <f>IF(AND(ISNUMBER(O1416),ISNUMBER(P1416),O1416&gt;0),ROUND((O1416-P1416)/O1416*100,1),"")</f>
        <v/>
      </c>
    </row>
    <row r="1417">
      <c r="Q1417">
        <f>IF(AND(ISNUMBER(O1417),ISNUMBER(P1417),O1417&gt;0),ROUND((O1417-P1417)/O1417*100,1),"")</f>
        <v/>
      </c>
    </row>
    <row r="1418">
      <c r="Q1418">
        <f>IF(AND(ISNUMBER(O1418),ISNUMBER(P1418),O1418&gt;0),ROUND((O1418-P1418)/O1418*100,1),"")</f>
        <v/>
      </c>
    </row>
    <row r="1419">
      <c r="Q1419">
        <f>IF(AND(ISNUMBER(O1419),ISNUMBER(P1419),O1419&gt;0),ROUND((O1419-P1419)/O1419*100,1),"")</f>
        <v/>
      </c>
    </row>
    <row r="1420">
      <c r="Q1420">
        <f>IF(AND(ISNUMBER(O1420),ISNUMBER(P1420),O1420&gt;0),ROUND((O1420-P1420)/O1420*100,1),"")</f>
        <v/>
      </c>
    </row>
    <row r="1421">
      <c r="Q1421">
        <f>IF(AND(ISNUMBER(O1421),ISNUMBER(P1421),O1421&gt;0),ROUND((O1421-P1421)/O1421*100,1),"")</f>
        <v/>
      </c>
    </row>
    <row r="1422">
      <c r="Q1422">
        <f>IF(AND(ISNUMBER(O1422),ISNUMBER(P1422),O1422&gt;0),ROUND((O1422-P1422)/O1422*100,1),"")</f>
        <v/>
      </c>
    </row>
    <row r="1423">
      <c r="Q1423">
        <f>IF(AND(ISNUMBER(O1423),ISNUMBER(P1423),O1423&gt;0),ROUND((O1423-P1423)/O1423*100,1),"")</f>
        <v/>
      </c>
    </row>
    <row r="1424">
      <c r="Q1424">
        <f>IF(AND(ISNUMBER(O1424),ISNUMBER(P1424),O1424&gt;0),ROUND((O1424-P1424)/O1424*100,1),"")</f>
        <v/>
      </c>
    </row>
    <row r="1425">
      <c r="Q1425">
        <f>IF(AND(ISNUMBER(O1425),ISNUMBER(P1425),O1425&gt;0),ROUND((O1425-P1425)/O1425*100,1),"")</f>
        <v/>
      </c>
    </row>
    <row r="1426">
      <c r="Q1426">
        <f>IF(AND(ISNUMBER(O1426),ISNUMBER(P1426),O1426&gt;0),ROUND((O1426-P1426)/O1426*100,1),"")</f>
        <v/>
      </c>
    </row>
    <row r="1427">
      <c r="Q1427">
        <f>IF(AND(ISNUMBER(O1427),ISNUMBER(P1427),O1427&gt;0),ROUND((O1427-P1427)/O1427*100,1),"")</f>
        <v/>
      </c>
    </row>
    <row r="1428">
      <c r="Q1428">
        <f>IF(AND(ISNUMBER(O1428),ISNUMBER(P1428),O1428&gt;0),ROUND((O1428-P1428)/O1428*100,1),"")</f>
        <v/>
      </c>
    </row>
    <row r="1429">
      <c r="Q1429">
        <f>IF(AND(ISNUMBER(O1429),ISNUMBER(P1429),O1429&gt;0),ROUND((O1429-P1429)/O1429*100,1),"")</f>
        <v/>
      </c>
    </row>
    <row r="1430">
      <c r="Q1430">
        <f>IF(AND(ISNUMBER(O1430),ISNUMBER(P1430),O1430&gt;0),ROUND((O1430-P1430)/O1430*100,1),"")</f>
        <v/>
      </c>
    </row>
    <row r="1431">
      <c r="Q1431">
        <f>IF(AND(ISNUMBER(O1431),ISNUMBER(P1431),O1431&gt;0),ROUND((O1431-P1431)/O1431*100,1),"")</f>
        <v/>
      </c>
    </row>
    <row r="1432">
      <c r="Q1432">
        <f>IF(AND(ISNUMBER(O1432),ISNUMBER(P1432),O1432&gt;0),ROUND((O1432-P1432)/O1432*100,1),"")</f>
        <v/>
      </c>
    </row>
    <row r="1433">
      <c r="Q1433">
        <f>IF(AND(ISNUMBER(O1433),ISNUMBER(P1433),O1433&gt;0),ROUND((O1433-P1433)/O1433*100,1),"")</f>
        <v/>
      </c>
    </row>
    <row r="1434">
      <c r="Q1434">
        <f>IF(AND(ISNUMBER(O1434),ISNUMBER(P1434),O1434&gt;0),ROUND((O1434-P1434)/O1434*100,1),"")</f>
        <v/>
      </c>
    </row>
    <row r="1435">
      <c r="Q1435">
        <f>IF(AND(ISNUMBER(O1435),ISNUMBER(P1435),O1435&gt;0),ROUND((O1435-P1435)/O1435*100,1),"")</f>
        <v/>
      </c>
    </row>
    <row r="1436">
      <c r="Q1436">
        <f>IF(AND(ISNUMBER(O1436),ISNUMBER(P1436),O1436&gt;0),ROUND((O1436-P1436)/O1436*100,1),"")</f>
        <v/>
      </c>
    </row>
    <row r="1437">
      <c r="Q1437">
        <f>IF(AND(ISNUMBER(O1437),ISNUMBER(P1437),O1437&gt;0),ROUND((O1437-P1437)/O1437*100,1),"")</f>
        <v/>
      </c>
    </row>
    <row r="1438">
      <c r="Q1438">
        <f>IF(AND(ISNUMBER(O1438),ISNUMBER(P1438),O1438&gt;0),ROUND((O1438-P1438)/O1438*100,1),"")</f>
        <v/>
      </c>
    </row>
    <row r="1439">
      <c r="Q1439">
        <f>IF(AND(ISNUMBER(O1439),ISNUMBER(P1439),O1439&gt;0),ROUND((O1439-P1439)/O1439*100,1),"")</f>
        <v/>
      </c>
    </row>
    <row r="1440">
      <c r="Q1440">
        <f>IF(AND(ISNUMBER(O1440),ISNUMBER(P1440),O1440&gt;0),ROUND((O1440-P1440)/O1440*100,1),"")</f>
        <v/>
      </c>
    </row>
    <row r="1441">
      <c r="Q1441">
        <f>IF(AND(ISNUMBER(O1441),ISNUMBER(P1441),O1441&gt;0),ROUND((O1441-P1441)/O1441*100,1),"")</f>
        <v/>
      </c>
    </row>
    <row r="1442">
      <c r="Q1442">
        <f>IF(AND(ISNUMBER(O1442),ISNUMBER(P1442),O1442&gt;0),ROUND((O1442-P1442)/O1442*100,1),"")</f>
        <v/>
      </c>
    </row>
    <row r="1443">
      <c r="Q1443">
        <f>IF(AND(ISNUMBER(O1443),ISNUMBER(P1443),O1443&gt;0),ROUND((O1443-P1443)/O1443*100,1),"")</f>
        <v/>
      </c>
    </row>
    <row r="1444">
      <c r="Q1444">
        <f>IF(AND(ISNUMBER(O1444),ISNUMBER(P1444),O1444&gt;0),ROUND((O1444-P1444)/O1444*100,1),"")</f>
        <v/>
      </c>
    </row>
    <row r="1445">
      <c r="Q1445">
        <f>IF(AND(ISNUMBER(O1445),ISNUMBER(P1445),O1445&gt;0),ROUND((O1445-P1445)/O1445*100,1),"")</f>
        <v/>
      </c>
    </row>
    <row r="1446">
      <c r="Q1446">
        <f>IF(AND(ISNUMBER(O1446),ISNUMBER(P1446),O1446&gt;0),ROUND((O1446-P1446)/O1446*100,1),"")</f>
        <v/>
      </c>
    </row>
    <row r="1447">
      <c r="Q1447">
        <f>IF(AND(ISNUMBER(O1447),ISNUMBER(P1447),O1447&gt;0),ROUND((O1447-P1447)/O1447*100,1),"")</f>
        <v/>
      </c>
    </row>
    <row r="1448">
      <c r="Q1448">
        <f>IF(AND(ISNUMBER(O1448),ISNUMBER(P1448),O1448&gt;0),ROUND((O1448-P1448)/O1448*100,1),"")</f>
        <v/>
      </c>
    </row>
    <row r="1449">
      <c r="Q1449">
        <f>IF(AND(ISNUMBER(O1449),ISNUMBER(P1449),O1449&gt;0),ROUND((O1449-P1449)/O1449*100,1),"")</f>
        <v/>
      </c>
    </row>
    <row r="1450">
      <c r="Q1450">
        <f>IF(AND(ISNUMBER(O1450),ISNUMBER(P1450),O1450&gt;0),ROUND((O1450-P1450)/O1450*100,1),"")</f>
        <v/>
      </c>
    </row>
    <row r="1451">
      <c r="Q1451">
        <f>IF(AND(ISNUMBER(O1451),ISNUMBER(P1451),O1451&gt;0),ROUND((O1451-P1451)/O1451*100,1),"")</f>
        <v/>
      </c>
    </row>
    <row r="1452">
      <c r="Q1452">
        <f>IF(AND(ISNUMBER(O1452),ISNUMBER(P1452),O1452&gt;0),ROUND((O1452-P1452)/O1452*100,1),"")</f>
        <v/>
      </c>
    </row>
    <row r="1453">
      <c r="Q1453">
        <f>IF(AND(ISNUMBER(O1453),ISNUMBER(P1453),O1453&gt;0),ROUND((O1453-P1453)/O1453*100,1),"")</f>
        <v/>
      </c>
    </row>
    <row r="1454">
      <c r="Q1454">
        <f>IF(AND(ISNUMBER(O1454),ISNUMBER(P1454),O1454&gt;0),ROUND((O1454-P1454)/O1454*100,1),"")</f>
        <v/>
      </c>
    </row>
    <row r="1455">
      <c r="Q1455">
        <f>IF(AND(ISNUMBER(O1455),ISNUMBER(P1455),O1455&gt;0),ROUND((O1455-P1455)/O1455*100,1),"")</f>
        <v/>
      </c>
    </row>
    <row r="1456">
      <c r="Q1456">
        <f>IF(AND(ISNUMBER(O1456),ISNUMBER(P1456),O1456&gt;0),ROUND((O1456-P1456)/O1456*100,1),"")</f>
        <v/>
      </c>
    </row>
    <row r="1457">
      <c r="Q1457">
        <f>IF(AND(ISNUMBER(O1457),ISNUMBER(P1457),O1457&gt;0),ROUND((O1457-P1457)/O1457*100,1),"")</f>
        <v/>
      </c>
    </row>
    <row r="1458">
      <c r="Q1458">
        <f>IF(AND(ISNUMBER(O1458),ISNUMBER(P1458),O1458&gt;0),ROUND((O1458-P1458)/O1458*100,1),"")</f>
        <v/>
      </c>
    </row>
    <row r="1459">
      <c r="Q1459">
        <f>IF(AND(ISNUMBER(O1459),ISNUMBER(P1459),O1459&gt;0),ROUND((O1459-P1459)/O1459*100,1),"")</f>
        <v/>
      </c>
    </row>
    <row r="1460">
      <c r="Q1460">
        <f>IF(AND(ISNUMBER(O1460),ISNUMBER(P1460),O1460&gt;0),ROUND((O1460-P1460)/O1460*100,1),"")</f>
        <v/>
      </c>
    </row>
    <row r="1461">
      <c r="Q1461">
        <f>IF(AND(ISNUMBER(O1461),ISNUMBER(P1461),O1461&gt;0),ROUND((O1461-P1461)/O1461*100,1),"")</f>
        <v/>
      </c>
    </row>
    <row r="1462">
      <c r="Q1462">
        <f>IF(AND(ISNUMBER(O1462),ISNUMBER(P1462),O1462&gt;0),ROUND((O1462-P1462)/O1462*100,1),"")</f>
        <v/>
      </c>
    </row>
    <row r="1463">
      <c r="Q1463">
        <f>IF(AND(ISNUMBER(O1463),ISNUMBER(P1463),O1463&gt;0),ROUND((O1463-P1463)/O1463*100,1),"")</f>
        <v/>
      </c>
    </row>
    <row r="1464">
      <c r="Q1464">
        <f>IF(AND(ISNUMBER(O1464),ISNUMBER(P1464),O1464&gt;0),ROUND((O1464-P1464)/O1464*100,1),"")</f>
        <v/>
      </c>
    </row>
    <row r="1465">
      <c r="Q1465">
        <f>IF(AND(ISNUMBER(O1465),ISNUMBER(P1465),O1465&gt;0),ROUND((O1465-P1465)/O1465*100,1),"")</f>
        <v/>
      </c>
    </row>
    <row r="1466">
      <c r="Q1466">
        <f>IF(AND(ISNUMBER(O1466),ISNUMBER(P1466),O1466&gt;0),ROUND((O1466-P1466)/O1466*100,1),"")</f>
        <v/>
      </c>
    </row>
    <row r="1467">
      <c r="Q1467">
        <f>IF(AND(ISNUMBER(O1467),ISNUMBER(P1467),O1467&gt;0),ROUND((O1467-P1467)/O1467*100,1),"")</f>
        <v/>
      </c>
    </row>
    <row r="1468">
      <c r="Q1468">
        <f>IF(AND(ISNUMBER(O1468),ISNUMBER(P1468),O1468&gt;0),ROUND((O1468-P1468)/O1468*100,1),"")</f>
        <v/>
      </c>
    </row>
    <row r="1469">
      <c r="Q1469">
        <f>IF(AND(ISNUMBER(O1469),ISNUMBER(P1469),O1469&gt;0),ROUND((O1469-P1469)/O1469*100,1),"")</f>
        <v/>
      </c>
    </row>
    <row r="1470">
      <c r="Q1470">
        <f>IF(AND(ISNUMBER(O1470),ISNUMBER(P1470),O1470&gt;0),ROUND((O1470-P1470)/O1470*100,1),"")</f>
        <v/>
      </c>
    </row>
    <row r="1471">
      <c r="Q1471">
        <f>IF(AND(ISNUMBER(O1471),ISNUMBER(P1471),O1471&gt;0),ROUND((O1471-P1471)/O1471*100,1),"")</f>
        <v/>
      </c>
    </row>
    <row r="1472">
      <c r="Q1472">
        <f>IF(AND(ISNUMBER(O1472),ISNUMBER(P1472),O1472&gt;0),ROUND((O1472-P1472)/O1472*100,1),"")</f>
        <v/>
      </c>
    </row>
    <row r="1473">
      <c r="Q1473">
        <f>IF(AND(ISNUMBER(O1473),ISNUMBER(P1473),O1473&gt;0),ROUND((O1473-P1473)/O1473*100,1),"")</f>
        <v/>
      </c>
    </row>
    <row r="1474">
      <c r="Q1474">
        <f>IF(AND(ISNUMBER(O1474),ISNUMBER(P1474),O1474&gt;0),ROUND((O1474-P1474)/O1474*100,1),"")</f>
        <v/>
      </c>
    </row>
    <row r="1475">
      <c r="Q1475">
        <f>IF(AND(ISNUMBER(O1475),ISNUMBER(P1475),O1475&gt;0),ROUND((O1475-P1475)/O1475*100,1),"")</f>
        <v/>
      </c>
    </row>
    <row r="1476">
      <c r="Q1476">
        <f>IF(AND(ISNUMBER(O1476),ISNUMBER(P1476),O1476&gt;0),ROUND((O1476-P1476)/O1476*100,1),"")</f>
        <v/>
      </c>
    </row>
    <row r="1477">
      <c r="Q1477">
        <f>IF(AND(ISNUMBER(O1477),ISNUMBER(P1477),O1477&gt;0),ROUND((O1477-P1477)/O1477*100,1),"")</f>
        <v/>
      </c>
    </row>
    <row r="1478">
      <c r="Q1478">
        <f>IF(AND(ISNUMBER(O1478),ISNUMBER(P1478),O1478&gt;0),ROUND((O1478-P1478)/O1478*100,1),"")</f>
        <v/>
      </c>
    </row>
    <row r="1479">
      <c r="Q1479">
        <f>IF(AND(ISNUMBER(O1479),ISNUMBER(P1479),O1479&gt;0),ROUND((O1479-P1479)/O1479*100,1),"")</f>
        <v/>
      </c>
    </row>
    <row r="1480">
      <c r="Q1480">
        <f>IF(AND(ISNUMBER(O1480),ISNUMBER(P1480),O1480&gt;0),ROUND((O1480-P1480)/O1480*100,1),"")</f>
        <v/>
      </c>
    </row>
    <row r="1481">
      <c r="Q1481">
        <f>IF(AND(ISNUMBER(O1481),ISNUMBER(P1481),O1481&gt;0),ROUND((O1481-P1481)/O1481*100,1),"")</f>
        <v/>
      </c>
    </row>
    <row r="1482">
      <c r="Q1482">
        <f>IF(AND(ISNUMBER(O1482),ISNUMBER(P1482),O1482&gt;0),ROUND((O1482-P1482)/O1482*100,1),"")</f>
        <v/>
      </c>
    </row>
    <row r="1483">
      <c r="Q1483">
        <f>IF(AND(ISNUMBER(O1483),ISNUMBER(P1483),O1483&gt;0),ROUND((O1483-P1483)/O1483*100,1),"")</f>
        <v/>
      </c>
    </row>
    <row r="1484">
      <c r="Q1484">
        <f>IF(AND(ISNUMBER(O1484),ISNUMBER(P1484),O1484&gt;0),ROUND((O1484-P1484)/O1484*100,1),"")</f>
        <v/>
      </c>
    </row>
    <row r="1485">
      <c r="Q1485">
        <f>IF(AND(ISNUMBER(O1485),ISNUMBER(P1485),O1485&gt;0),ROUND((O1485-P1485)/O1485*100,1),"")</f>
        <v/>
      </c>
    </row>
    <row r="1486">
      <c r="Q1486">
        <f>IF(AND(ISNUMBER(O1486),ISNUMBER(P1486),O1486&gt;0),ROUND((O1486-P1486)/O1486*100,1),"")</f>
        <v/>
      </c>
    </row>
    <row r="1487">
      <c r="Q1487">
        <f>IF(AND(ISNUMBER(O1487),ISNUMBER(P1487),O1487&gt;0),ROUND((O1487-P1487)/O1487*100,1),"")</f>
        <v/>
      </c>
    </row>
    <row r="1488">
      <c r="Q1488">
        <f>IF(AND(ISNUMBER(O1488),ISNUMBER(P1488),O1488&gt;0),ROUND((O1488-P1488)/O1488*100,1),"")</f>
        <v/>
      </c>
    </row>
    <row r="1489">
      <c r="Q1489">
        <f>IF(AND(ISNUMBER(O1489),ISNUMBER(P1489),O1489&gt;0),ROUND((O1489-P1489)/O1489*100,1),"")</f>
        <v/>
      </c>
    </row>
    <row r="1490">
      <c r="Q1490">
        <f>IF(AND(ISNUMBER(O1490),ISNUMBER(P1490),O1490&gt;0),ROUND((O1490-P1490)/O1490*100,1),"")</f>
        <v/>
      </c>
    </row>
    <row r="1491">
      <c r="Q1491">
        <f>IF(AND(ISNUMBER(O1491),ISNUMBER(P1491),O1491&gt;0),ROUND((O1491-P1491)/O1491*100,1),"")</f>
        <v/>
      </c>
    </row>
    <row r="1492">
      <c r="Q1492">
        <f>IF(AND(ISNUMBER(O1492),ISNUMBER(P1492),O1492&gt;0),ROUND((O1492-P1492)/O1492*100,1),"")</f>
        <v/>
      </c>
    </row>
    <row r="1493">
      <c r="Q1493">
        <f>IF(AND(ISNUMBER(O1493),ISNUMBER(P1493),O1493&gt;0),ROUND((O1493-P1493)/O1493*100,1),"")</f>
        <v/>
      </c>
    </row>
    <row r="1494">
      <c r="Q1494">
        <f>IF(AND(ISNUMBER(O1494),ISNUMBER(P1494),O1494&gt;0),ROUND((O1494-P1494)/O1494*100,1),"")</f>
        <v/>
      </c>
    </row>
    <row r="1495">
      <c r="Q1495">
        <f>IF(AND(ISNUMBER(O1495),ISNUMBER(P1495),O1495&gt;0),ROUND((O1495-P1495)/O1495*100,1),"")</f>
        <v/>
      </c>
    </row>
    <row r="1496">
      <c r="Q1496">
        <f>IF(AND(ISNUMBER(O1496),ISNUMBER(P1496),O1496&gt;0),ROUND((O1496-P1496)/O1496*100,1),"")</f>
        <v/>
      </c>
    </row>
    <row r="1497">
      <c r="Q1497">
        <f>IF(AND(ISNUMBER(O1497),ISNUMBER(P1497),O1497&gt;0),ROUND((O1497-P1497)/O1497*100,1),"")</f>
        <v/>
      </c>
    </row>
    <row r="1498">
      <c r="Q1498">
        <f>IF(AND(ISNUMBER(O1498),ISNUMBER(P1498),O1498&gt;0),ROUND((O1498-P1498)/O1498*100,1),"")</f>
        <v/>
      </c>
    </row>
    <row r="1499">
      <c r="Q1499">
        <f>IF(AND(ISNUMBER(O1499),ISNUMBER(P1499),O1499&gt;0),ROUND((O1499-P1499)/O1499*100,1),"")</f>
        <v/>
      </c>
    </row>
    <row r="1500">
      <c r="Q1500">
        <f>IF(AND(ISNUMBER(O1500),ISNUMBER(P1500),O1500&gt;0),ROUND((O1500-P1500)/O1500*100,1),"")</f>
        <v/>
      </c>
    </row>
    <row r="1501">
      <c r="Q1501">
        <f>IF(AND(ISNUMBER(O1501),ISNUMBER(P1501),O1501&gt;0),ROUND((O1501-P1501)/O1501*100,1),"")</f>
        <v/>
      </c>
    </row>
    <row r="1502">
      <c r="Q1502">
        <f>IF(AND(ISNUMBER(O1502),ISNUMBER(P1502),O1502&gt;0),ROUND((O1502-P1502)/O1502*100,1),"")</f>
        <v/>
      </c>
    </row>
    <row r="1503">
      <c r="Q1503">
        <f>IF(AND(ISNUMBER(O1503),ISNUMBER(P1503),O1503&gt;0),ROUND((O1503-P1503)/O1503*100,1),"")</f>
        <v/>
      </c>
    </row>
    <row r="1504">
      <c r="Q1504">
        <f>IF(AND(ISNUMBER(O1504),ISNUMBER(P1504),O1504&gt;0),ROUND((O1504-P1504)/O1504*100,1),"")</f>
        <v/>
      </c>
    </row>
    <row r="1505">
      <c r="Q1505">
        <f>IF(AND(ISNUMBER(O1505),ISNUMBER(P1505),O1505&gt;0),ROUND((O1505-P1505)/O1505*100,1),"")</f>
        <v/>
      </c>
    </row>
    <row r="1506">
      <c r="Q1506">
        <f>IF(AND(ISNUMBER(O1506),ISNUMBER(P1506),O1506&gt;0),ROUND((O1506-P1506)/O1506*100,1),"")</f>
        <v/>
      </c>
    </row>
    <row r="1507">
      <c r="Q1507">
        <f>IF(AND(ISNUMBER(O1507),ISNUMBER(P1507),O1507&gt;0),ROUND((O1507-P1507)/O1507*100,1),"")</f>
        <v/>
      </c>
    </row>
    <row r="1508">
      <c r="Q1508">
        <f>IF(AND(ISNUMBER(O1508),ISNUMBER(P1508),O1508&gt;0),ROUND((O1508-P1508)/O1508*100,1),"")</f>
        <v/>
      </c>
    </row>
    <row r="1509">
      <c r="Q1509">
        <f>IF(AND(ISNUMBER(O1509),ISNUMBER(P1509),O1509&gt;0),ROUND((O1509-P1509)/O1509*100,1),"")</f>
        <v/>
      </c>
    </row>
    <row r="1510">
      <c r="Q1510">
        <f>IF(AND(ISNUMBER(O1510),ISNUMBER(P1510),O1510&gt;0),ROUND((O1510-P1510)/O1510*100,1),"")</f>
        <v/>
      </c>
    </row>
    <row r="1511">
      <c r="Q1511">
        <f>IF(AND(ISNUMBER(O1511),ISNUMBER(P1511),O1511&gt;0),ROUND((O1511-P1511)/O1511*100,1),"")</f>
        <v/>
      </c>
    </row>
    <row r="1512">
      <c r="Q1512">
        <f>IF(AND(ISNUMBER(O1512),ISNUMBER(P1512),O1512&gt;0),ROUND((O1512-P1512)/O1512*100,1),"")</f>
        <v/>
      </c>
    </row>
    <row r="1513">
      <c r="Q1513">
        <f>IF(AND(ISNUMBER(O1513),ISNUMBER(P1513),O1513&gt;0),ROUND((O1513-P1513)/O1513*100,1),"")</f>
        <v/>
      </c>
    </row>
    <row r="1514">
      <c r="Q1514">
        <f>IF(AND(ISNUMBER(O1514),ISNUMBER(P1514),O1514&gt;0),ROUND((O1514-P1514)/O1514*100,1),"")</f>
        <v/>
      </c>
    </row>
    <row r="1515">
      <c r="Q1515">
        <f>IF(AND(ISNUMBER(O1515),ISNUMBER(P1515),O1515&gt;0),ROUND((O1515-P1515)/O1515*100,1),"")</f>
        <v/>
      </c>
    </row>
    <row r="1516">
      <c r="Q1516">
        <f>IF(AND(ISNUMBER(O1516),ISNUMBER(P1516),O1516&gt;0),ROUND((O1516-P1516)/O1516*100,1),"")</f>
        <v/>
      </c>
    </row>
    <row r="1517">
      <c r="Q1517">
        <f>IF(AND(ISNUMBER(O1517),ISNUMBER(P1517),O1517&gt;0),ROUND((O1517-P1517)/O1517*100,1),"")</f>
        <v/>
      </c>
    </row>
    <row r="1518">
      <c r="Q1518">
        <f>IF(AND(ISNUMBER(O1518),ISNUMBER(P1518),O1518&gt;0),ROUND((O1518-P1518)/O1518*100,1),"")</f>
        <v/>
      </c>
    </row>
    <row r="1519">
      <c r="Q1519">
        <f>IF(AND(ISNUMBER(O1519),ISNUMBER(P1519),O1519&gt;0),ROUND((O1519-P1519)/O1519*100,1),"")</f>
        <v/>
      </c>
    </row>
    <row r="1520">
      <c r="Q1520">
        <f>IF(AND(ISNUMBER(O1520),ISNUMBER(P1520),O1520&gt;0),ROUND((O1520-P1520)/O1520*100,1),"")</f>
        <v/>
      </c>
    </row>
    <row r="1521">
      <c r="Q1521">
        <f>IF(AND(ISNUMBER(O1521),ISNUMBER(P1521),O1521&gt;0),ROUND((O1521-P1521)/O1521*100,1),"")</f>
        <v/>
      </c>
    </row>
    <row r="1522">
      <c r="Q1522">
        <f>IF(AND(ISNUMBER(O1522),ISNUMBER(P1522),O1522&gt;0),ROUND((O1522-P1522)/O1522*100,1),"")</f>
        <v/>
      </c>
    </row>
    <row r="1523">
      <c r="Q1523">
        <f>IF(AND(ISNUMBER(O1523),ISNUMBER(P1523),O1523&gt;0),ROUND((O1523-P1523)/O1523*100,1),"")</f>
        <v/>
      </c>
    </row>
    <row r="1524">
      <c r="Q1524">
        <f>IF(AND(ISNUMBER(O1524),ISNUMBER(P1524),O1524&gt;0),ROUND((O1524-P1524)/O1524*100,1),"")</f>
        <v/>
      </c>
    </row>
    <row r="1525">
      <c r="Q1525">
        <f>IF(AND(ISNUMBER(O1525),ISNUMBER(P1525),O1525&gt;0),ROUND((O1525-P1525)/O1525*100,1),"")</f>
        <v/>
      </c>
    </row>
    <row r="1526">
      <c r="Q1526">
        <f>IF(AND(ISNUMBER(O1526),ISNUMBER(P1526),O1526&gt;0),ROUND((O1526-P1526)/O1526*100,1),"")</f>
        <v/>
      </c>
    </row>
    <row r="1527">
      <c r="Q1527">
        <f>IF(AND(ISNUMBER(O1527),ISNUMBER(P1527),O1527&gt;0),ROUND((O1527-P1527)/O1527*100,1),"")</f>
        <v/>
      </c>
    </row>
    <row r="1528">
      <c r="Q1528">
        <f>IF(AND(ISNUMBER(O1528),ISNUMBER(P1528),O1528&gt;0),ROUND((O1528-P1528)/O1528*100,1),"")</f>
        <v/>
      </c>
    </row>
    <row r="1529">
      <c r="Q1529">
        <f>IF(AND(ISNUMBER(O1529),ISNUMBER(P1529),O1529&gt;0),ROUND((O1529-P1529)/O1529*100,1),"")</f>
        <v/>
      </c>
    </row>
    <row r="1530">
      <c r="Q1530">
        <f>IF(AND(ISNUMBER(O1530),ISNUMBER(P1530),O1530&gt;0),ROUND((O1530-P1530)/O1530*100,1),"")</f>
        <v/>
      </c>
    </row>
    <row r="1531">
      <c r="Q1531">
        <f>IF(AND(ISNUMBER(O1531),ISNUMBER(P1531),O1531&gt;0),ROUND((O1531-P1531)/O1531*100,1),"")</f>
        <v/>
      </c>
    </row>
    <row r="1532">
      <c r="Q1532">
        <f>IF(AND(ISNUMBER(O1532),ISNUMBER(P1532),O1532&gt;0),ROUND((O1532-P1532)/O1532*100,1),"")</f>
        <v/>
      </c>
    </row>
    <row r="1533">
      <c r="Q1533">
        <f>IF(AND(ISNUMBER(O1533),ISNUMBER(P1533),O1533&gt;0),ROUND((O1533-P1533)/O1533*100,1),"")</f>
        <v/>
      </c>
    </row>
    <row r="1534">
      <c r="Q1534">
        <f>IF(AND(ISNUMBER(O1534),ISNUMBER(P1534),O1534&gt;0),ROUND((O1534-P1534)/O1534*100,1),"")</f>
        <v/>
      </c>
    </row>
    <row r="1535">
      <c r="Q1535">
        <f>IF(AND(ISNUMBER(O1535),ISNUMBER(P1535),O1535&gt;0),ROUND((O1535-P1535)/O1535*100,1),"")</f>
        <v/>
      </c>
    </row>
    <row r="1536">
      <c r="Q1536">
        <f>IF(AND(ISNUMBER(O1536),ISNUMBER(P1536),O1536&gt;0),ROUND((O1536-P1536)/O1536*100,1),"")</f>
        <v/>
      </c>
    </row>
    <row r="1537">
      <c r="Q1537">
        <f>IF(AND(ISNUMBER(O1537),ISNUMBER(P1537),O1537&gt;0),ROUND((O1537-P1537)/O1537*100,1),"")</f>
        <v/>
      </c>
    </row>
    <row r="1538">
      <c r="Q1538">
        <f>IF(AND(ISNUMBER(O1538),ISNUMBER(P1538),O1538&gt;0),ROUND((O1538-P1538)/O1538*100,1),"")</f>
        <v/>
      </c>
    </row>
    <row r="1539">
      <c r="Q1539">
        <f>IF(AND(ISNUMBER(O1539),ISNUMBER(P1539),O1539&gt;0),ROUND((O1539-P1539)/O1539*100,1),"")</f>
        <v/>
      </c>
    </row>
    <row r="1540">
      <c r="Q1540">
        <f>IF(AND(ISNUMBER(O1540),ISNUMBER(P1540),O1540&gt;0),ROUND((O1540-P1540)/O1540*100,1),"")</f>
        <v/>
      </c>
    </row>
    <row r="1541">
      <c r="Q1541">
        <f>IF(AND(ISNUMBER(O1541),ISNUMBER(P1541),O1541&gt;0),ROUND((O1541-P1541)/O1541*100,1),"")</f>
        <v/>
      </c>
    </row>
    <row r="1542">
      <c r="Q1542">
        <f>IF(AND(ISNUMBER(O1542),ISNUMBER(P1542),O1542&gt;0),ROUND((O1542-P1542)/O1542*100,1),"")</f>
        <v/>
      </c>
    </row>
    <row r="1543">
      <c r="Q1543">
        <f>IF(AND(ISNUMBER(O1543),ISNUMBER(P1543),O1543&gt;0),ROUND((O1543-P1543)/O1543*100,1),"")</f>
        <v/>
      </c>
    </row>
    <row r="1544">
      <c r="Q1544">
        <f>IF(AND(ISNUMBER(O1544),ISNUMBER(P1544),O1544&gt;0),ROUND((O1544-P1544)/O1544*100,1),"")</f>
        <v/>
      </c>
    </row>
    <row r="1545">
      <c r="Q1545">
        <f>IF(AND(ISNUMBER(O1545),ISNUMBER(P1545),O1545&gt;0),ROUND((O1545-P1545)/O1545*100,1),"")</f>
        <v/>
      </c>
    </row>
    <row r="1546">
      <c r="Q1546">
        <f>IF(AND(ISNUMBER(O1546),ISNUMBER(P1546),O1546&gt;0),ROUND((O1546-P1546)/O1546*100,1),"")</f>
        <v/>
      </c>
    </row>
    <row r="1547">
      <c r="Q1547">
        <f>IF(AND(ISNUMBER(O1547),ISNUMBER(P1547),O1547&gt;0),ROUND((O1547-P1547)/O1547*100,1),"")</f>
        <v/>
      </c>
    </row>
    <row r="1548">
      <c r="Q1548">
        <f>IF(AND(ISNUMBER(O1548),ISNUMBER(P1548),O1548&gt;0),ROUND((O1548-P1548)/O1548*100,1),"")</f>
        <v/>
      </c>
    </row>
    <row r="1549">
      <c r="Q1549">
        <f>IF(AND(ISNUMBER(O1549),ISNUMBER(P1549),O1549&gt;0),ROUND((O1549-P1549)/O1549*100,1),"")</f>
        <v/>
      </c>
    </row>
    <row r="1550">
      <c r="Q1550">
        <f>IF(AND(ISNUMBER(O1550),ISNUMBER(P1550),O1550&gt;0),ROUND((O1550-P1550)/O1550*100,1),"")</f>
        <v/>
      </c>
    </row>
    <row r="1551">
      <c r="Q1551">
        <f>IF(AND(ISNUMBER(O1551),ISNUMBER(P1551),O1551&gt;0),ROUND((O1551-P1551)/O1551*100,1),"")</f>
        <v/>
      </c>
    </row>
    <row r="1552">
      <c r="Q1552">
        <f>IF(AND(ISNUMBER(O1552),ISNUMBER(P1552),O1552&gt;0),ROUND((O1552-P1552)/O1552*100,1),"")</f>
        <v/>
      </c>
    </row>
    <row r="1553">
      <c r="Q1553">
        <f>IF(AND(ISNUMBER(O1553),ISNUMBER(P1553),O1553&gt;0),ROUND((O1553-P1553)/O1553*100,1),"")</f>
        <v/>
      </c>
    </row>
    <row r="1554">
      <c r="Q1554">
        <f>IF(AND(ISNUMBER(O1554),ISNUMBER(P1554),O1554&gt;0),ROUND((O1554-P1554)/O1554*100,1),"")</f>
        <v/>
      </c>
    </row>
    <row r="1555">
      <c r="Q1555">
        <f>IF(AND(ISNUMBER(O1555),ISNUMBER(P1555),O1555&gt;0),ROUND((O1555-P1555)/O1555*100,1),"")</f>
        <v/>
      </c>
    </row>
    <row r="1556">
      <c r="Q1556">
        <f>IF(AND(ISNUMBER(O1556),ISNUMBER(P1556),O1556&gt;0),ROUND((O1556-P1556)/O1556*100,1),"")</f>
        <v/>
      </c>
    </row>
    <row r="1557">
      <c r="Q1557">
        <f>IF(AND(ISNUMBER(O1557),ISNUMBER(P1557),O1557&gt;0),ROUND((O1557-P1557)/O1557*100,1),"")</f>
        <v/>
      </c>
    </row>
    <row r="1558">
      <c r="Q1558">
        <f>IF(AND(ISNUMBER(O1558),ISNUMBER(P1558),O1558&gt;0),ROUND((O1558-P1558)/O1558*100,1),"")</f>
        <v/>
      </c>
    </row>
    <row r="1559">
      <c r="Q1559">
        <f>IF(AND(ISNUMBER(O1559),ISNUMBER(P1559),O1559&gt;0),ROUND((O1559-P1559)/O1559*100,1),"")</f>
        <v/>
      </c>
    </row>
    <row r="1560">
      <c r="Q1560">
        <f>IF(AND(ISNUMBER(O1560),ISNUMBER(P1560),O1560&gt;0),ROUND((O1560-P1560)/O1560*100,1),"")</f>
        <v/>
      </c>
    </row>
    <row r="1561">
      <c r="Q1561">
        <f>IF(AND(ISNUMBER(O1561),ISNUMBER(P1561),O1561&gt;0),ROUND((O1561-P1561)/O1561*100,1),"")</f>
        <v/>
      </c>
    </row>
    <row r="1562">
      <c r="Q1562">
        <f>IF(AND(ISNUMBER(O1562),ISNUMBER(P1562),O1562&gt;0),ROUND((O1562-P1562)/O1562*100,1),"")</f>
        <v/>
      </c>
    </row>
    <row r="1563">
      <c r="Q1563">
        <f>IF(AND(ISNUMBER(O1563),ISNUMBER(P1563),O1563&gt;0),ROUND((O1563-P1563)/O1563*100,1),"")</f>
        <v/>
      </c>
    </row>
    <row r="1564">
      <c r="Q1564">
        <f>IF(AND(ISNUMBER(O1564),ISNUMBER(P1564),O1564&gt;0),ROUND((O1564-P1564)/O1564*100,1),"")</f>
        <v/>
      </c>
    </row>
    <row r="1565">
      <c r="Q1565">
        <f>IF(AND(ISNUMBER(O1565),ISNUMBER(P1565),O1565&gt;0),ROUND((O1565-P1565)/O1565*100,1),"")</f>
        <v/>
      </c>
    </row>
    <row r="1566">
      <c r="Q1566">
        <f>IF(AND(ISNUMBER(O1566),ISNUMBER(P1566),O1566&gt;0),ROUND((O1566-P1566)/O1566*100,1),"")</f>
        <v/>
      </c>
    </row>
    <row r="1567">
      <c r="Q1567">
        <f>IF(AND(ISNUMBER(O1567),ISNUMBER(P1567),O1567&gt;0),ROUND((O1567-P1567)/O1567*100,1),"")</f>
        <v/>
      </c>
    </row>
    <row r="1568">
      <c r="Q1568">
        <f>IF(AND(ISNUMBER(O1568),ISNUMBER(P1568),O1568&gt;0),ROUND((O1568-P1568)/O1568*100,1),"")</f>
        <v/>
      </c>
    </row>
    <row r="1569">
      <c r="Q1569">
        <f>IF(AND(ISNUMBER(O1569),ISNUMBER(P1569),O1569&gt;0),ROUND((O1569-P1569)/O1569*100,1),"")</f>
        <v/>
      </c>
    </row>
    <row r="1570">
      <c r="Q1570">
        <f>IF(AND(ISNUMBER(O1570),ISNUMBER(P1570),O1570&gt;0),ROUND((O1570-P1570)/O1570*100,1),"")</f>
        <v/>
      </c>
    </row>
    <row r="1571">
      <c r="Q1571">
        <f>IF(AND(ISNUMBER(O1571),ISNUMBER(P1571),O1571&gt;0),ROUND((O1571-P1571)/O1571*100,1),"")</f>
        <v/>
      </c>
    </row>
    <row r="1572">
      <c r="Q1572">
        <f>IF(AND(ISNUMBER(O1572),ISNUMBER(P1572),O1572&gt;0),ROUND((O1572-P1572)/O1572*100,1),"")</f>
        <v/>
      </c>
    </row>
    <row r="1573">
      <c r="Q1573">
        <f>IF(AND(ISNUMBER(O1573),ISNUMBER(P1573),O1573&gt;0),ROUND((O1573-P1573)/O1573*100,1),"")</f>
        <v/>
      </c>
    </row>
    <row r="1574">
      <c r="Q1574">
        <f>IF(AND(ISNUMBER(O1574),ISNUMBER(P1574),O1574&gt;0),ROUND((O1574-P1574)/O1574*100,1),"")</f>
        <v/>
      </c>
    </row>
    <row r="1575">
      <c r="Q1575">
        <f>IF(AND(ISNUMBER(O1575),ISNUMBER(P1575),O1575&gt;0),ROUND((O1575-P1575)/O1575*100,1),"")</f>
        <v/>
      </c>
    </row>
    <row r="1576">
      <c r="Q1576">
        <f>IF(AND(ISNUMBER(O1576),ISNUMBER(P1576),O1576&gt;0),ROUND((O1576-P1576)/O1576*100,1),"")</f>
        <v/>
      </c>
    </row>
    <row r="1577">
      <c r="Q1577">
        <f>IF(AND(ISNUMBER(O1577),ISNUMBER(P1577),O1577&gt;0),ROUND((O1577-P1577)/O1577*100,1),"")</f>
        <v/>
      </c>
    </row>
    <row r="1578">
      <c r="Q1578">
        <f>IF(AND(ISNUMBER(O1578),ISNUMBER(P1578),O1578&gt;0),ROUND((O1578-P1578)/O1578*100,1),"")</f>
        <v/>
      </c>
    </row>
    <row r="1579">
      <c r="Q1579">
        <f>IF(AND(ISNUMBER(O1579),ISNUMBER(P1579),O1579&gt;0),ROUND((O1579-P1579)/O1579*100,1),"")</f>
        <v/>
      </c>
    </row>
    <row r="1580">
      <c r="Q1580">
        <f>IF(AND(ISNUMBER(O1580),ISNUMBER(P1580),O1580&gt;0),ROUND((O1580-P1580)/O1580*100,1),"")</f>
        <v/>
      </c>
    </row>
    <row r="1581">
      <c r="Q1581">
        <f>IF(AND(ISNUMBER(O1581),ISNUMBER(P1581),O1581&gt;0),ROUND((O1581-P1581)/O1581*100,1),"")</f>
        <v/>
      </c>
    </row>
    <row r="1582">
      <c r="Q1582">
        <f>IF(AND(ISNUMBER(O1582),ISNUMBER(P1582),O1582&gt;0),ROUND((O1582-P1582)/O1582*100,1),"")</f>
        <v/>
      </c>
    </row>
    <row r="1583">
      <c r="Q1583">
        <f>IF(AND(ISNUMBER(O1583),ISNUMBER(P1583),O1583&gt;0),ROUND((O1583-P1583)/O1583*100,1),"")</f>
        <v/>
      </c>
    </row>
    <row r="1584">
      <c r="Q1584">
        <f>IF(AND(ISNUMBER(O1584),ISNUMBER(P1584),O1584&gt;0),ROUND((O1584-P1584)/O1584*100,1),"")</f>
        <v/>
      </c>
    </row>
    <row r="1585">
      <c r="Q1585">
        <f>IF(AND(ISNUMBER(O1585),ISNUMBER(P1585),O1585&gt;0),ROUND((O1585-P1585)/O1585*100,1),"")</f>
        <v/>
      </c>
    </row>
    <row r="1586">
      <c r="Q1586">
        <f>IF(AND(ISNUMBER(O1586),ISNUMBER(P1586),O1586&gt;0),ROUND((O1586-P1586)/O1586*100,1),"")</f>
        <v/>
      </c>
    </row>
    <row r="1587">
      <c r="Q1587">
        <f>IF(AND(ISNUMBER(O1587),ISNUMBER(P1587),O1587&gt;0),ROUND((O1587-P1587)/O1587*100,1),"")</f>
        <v/>
      </c>
    </row>
    <row r="1588">
      <c r="Q1588">
        <f>IF(AND(ISNUMBER(O1588),ISNUMBER(P1588),O1588&gt;0),ROUND((O1588-P1588)/O1588*100,1),"")</f>
        <v/>
      </c>
    </row>
    <row r="1589">
      <c r="Q1589">
        <f>IF(AND(ISNUMBER(O1589),ISNUMBER(P1589),O1589&gt;0),ROUND((O1589-P1589)/O1589*100,1),"")</f>
        <v/>
      </c>
    </row>
    <row r="1590">
      <c r="Q1590">
        <f>IF(AND(ISNUMBER(O1590),ISNUMBER(P1590),O1590&gt;0),ROUND((O1590-P1590)/O1590*100,1),"")</f>
        <v/>
      </c>
    </row>
    <row r="1591">
      <c r="Q1591">
        <f>IF(AND(ISNUMBER(O1591),ISNUMBER(P1591),O1591&gt;0),ROUND((O1591-P1591)/O1591*100,1),"")</f>
        <v/>
      </c>
    </row>
    <row r="1592">
      <c r="Q1592">
        <f>IF(AND(ISNUMBER(O1592),ISNUMBER(P1592),O1592&gt;0),ROUND((O1592-P1592)/O1592*100,1),"")</f>
        <v/>
      </c>
    </row>
    <row r="1593">
      <c r="Q1593">
        <f>IF(AND(ISNUMBER(O1593),ISNUMBER(P1593),O1593&gt;0),ROUND((O1593-P1593)/O1593*100,1),"")</f>
        <v/>
      </c>
    </row>
    <row r="1594">
      <c r="Q1594">
        <f>IF(AND(ISNUMBER(O1594),ISNUMBER(P1594),O1594&gt;0),ROUND((O1594-P1594)/O1594*100,1),"")</f>
        <v/>
      </c>
    </row>
    <row r="1595">
      <c r="Q1595">
        <f>IF(AND(ISNUMBER(O1595),ISNUMBER(P1595),O1595&gt;0),ROUND((O1595-P1595)/O1595*100,1),"")</f>
        <v/>
      </c>
    </row>
    <row r="1596">
      <c r="Q1596">
        <f>IF(AND(ISNUMBER(O1596),ISNUMBER(P1596),O1596&gt;0),ROUND((O1596-P1596)/O1596*100,1),"")</f>
        <v/>
      </c>
    </row>
    <row r="1597">
      <c r="Q1597">
        <f>IF(AND(ISNUMBER(O1597),ISNUMBER(P1597),O1597&gt;0),ROUND((O1597-P1597)/O1597*100,1),"")</f>
        <v/>
      </c>
    </row>
    <row r="1598">
      <c r="Q1598">
        <f>IF(AND(ISNUMBER(O1598),ISNUMBER(P1598),O1598&gt;0),ROUND((O1598-P1598)/O1598*100,1),"")</f>
        <v/>
      </c>
    </row>
    <row r="1599">
      <c r="Q1599">
        <f>IF(AND(ISNUMBER(O1599),ISNUMBER(P1599),O1599&gt;0),ROUND((O1599-P1599)/O1599*100,1),"")</f>
        <v/>
      </c>
    </row>
    <row r="1600">
      <c r="Q1600">
        <f>IF(AND(ISNUMBER(O1600),ISNUMBER(P1600),O1600&gt;0),ROUND((O1600-P1600)/O1600*100,1),"")</f>
        <v/>
      </c>
    </row>
    <row r="1601">
      <c r="Q1601">
        <f>IF(AND(ISNUMBER(O1601),ISNUMBER(P1601),O1601&gt;0),ROUND((O1601-P1601)/O1601*100,1),"")</f>
        <v/>
      </c>
    </row>
    <row r="1602">
      <c r="Q1602">
        <f>IF(AND(ISNUMBER(O1602),ISNUMBER(P1602),O1602&gt;0),ROUND((O1602-P1602)/O1602*100,1),"")</f>
        <v/>
      </c>
    </row>
    <row r="1603">
      <c r="Q1603">
        <f>IF(AND(ISNUMBER(O1603),ISNUMBER(P1603),O1603&gt;0),ROUND((O1603-P1603)/O1603*100,1),"")</f>
        <v/>
      </c>
    </row>
    <row r="1604">
      <c r="Q1604">
        <f>IF(AND(ISNUMBER(O1604),ISNUMBER(P1604),O1604&gt;0),ROUND((O1604-P1604)/O1604*100,1),"")</f>
        <v/>
      </c>
    </row>
    <row r="1605">
      <c r="Q1605">
        <f>IF(AND(ISNUMBER(O1605),ISNUMBER(P1605),O1605&gt;0),ROUND((O1605-P1605)/O1605*100,1),"")</f>
        <v/>
      </c>
    </row>
    <row r="1606">
      <c r="Q1606">
        <f>IF(AND(ISNUMBER(O1606),ISNUMBER(P1606),O1606&gt;0),ROUND((O1606-P1606)/O1606*100,1),"")</f>
        <v/>
      </c>
    </row>
    <row r="1607">
      <c r="Q1607">
        <f>IF(AND(ISNUMBER(O1607),ISNUMBER(P1607),O1607&gt;0),ROUND((O1607-P1607)/O1607*100,1),"")</f>
        <v/>
      </c>
    </row>
    <row r="1608">
      <c r="Q1608">
        <f>IF(AND(ISNUMBER(O1608),ISNUMBER(P1608),O1608&gt;0),ROUND((O1608-P1608)/O1608*100,1),"")</f>
        <v/>
      </c>
    </row>
    <row r="1609">
      <c r="Q1609">
        <f>IF(AND(ISNUMBER(O1609),ISNUMBER(P1609),O1609&gt;0),ROUND((O1609-P1609)/O1609*100,1),"")</f>
        <v/>
      </c>
    </row>
    <row r="1610">
      <c r="Q1610">
        <f>IF(AND(ISNUMBER(O1610),ISNUMBER(P1610),O1610&gt;0),ROUND((O1610-P1610)/O1610*100,1),"")</f>
        <v/>
      </c>
    </row>
    <row r="1611">
      <c r="Q1611">
        <f>IF(AND(ISNUMBER(O1611),ISNUMBER(P1611),O1611&gt;0),ROUND((O1611-P1611)/O1611*100,1),"")</f>
        <v/>
      </c>
    </row>
    <row r="1612">
      <c r="Q1612">
        <f>IF(AND(ISNUMBER(O1612),ISNUMBER(P1612),O1612&gt;0),ROUND((O1612-P1612)/O1612*100,1),"")</f>
        <v/>
      </c>
    </row>
    <row r="1613">
      <c r="Q1613">
        <f>IF(AND(ISNUMBER(O1613),ISNUMBER(P1613),O1613&gt;0),ROUND((O1613-P1613)/O1613*100,1),"")</f>
        <v/>
      </c>
    </row>
    <row r="1614">
      <c r="Q1614">
        <f>IF(AND(ISNUMBER(O1614),ISNUMBER(P1614),O1614&gt;0),ROUND((O1614-P1614)/O1614*100,1),"")</f>
        <v/>
      </c>
    </row>
    <row r="1615">
      <c r="Q1615">
        <f>IF(AND(ISNUMBER(O1615),ISNUMBER(P1615),O1615&gt;0),ROUND((O1615-P1615)/O1615*100,1),"")</f>
        <v/>
      </c>
    </row>
    <row r="1616">
      <c r="Q1616">
        <f>IF(AND(ISNUMBER(O1616),ISNUMBER(P1616),O1616&gt;0),ROUND((O1616-P1616)/O1616*100,1),"")</f>
        <v/>
      </c>
    </row>
    <row r="1617">
      <c r="Q1617">
        <f>IF(AND(ISNUMBER(O1617),ISNUMBER(P1617),O1617&gt;0),ROUND((O1617-P1617)/O1617*100,1),"")</f>
        <v/>
      </c>
    </row>
    <row r="1618">
      <c r="Q1618">
        <f>IF(AND(ISNUMBER(O1618),ISNUMBER(P1618),O1618&gt;0),ROUND((O1618-P1618)/O1618*100,1),"")</f>
        <v/>
      </c>
    </row>
    <row r="1619">
      <c r="Q1619">
        <f>IF(AND(ISNUMBER(O1619),ISNUMBER(P1619),O1619&gt;0),ROUND((O1619-P1619)/O1619*100,1),"")</f>
        <v/>
      </c>
    </row>
    <row r="1620">
      <c r="Q1620">
        <f>IF(AND(ISNUMBER(O1620),ISNUMBER(P1620),O1620&gt;0),ROUND((O1620-P1620)/O1620*100,1),"")</f>
        <v/>
      </c>
    </row>
    <row r="1621">
      <c r="Q1621">
        <f>IF(AND(ISNUMBER(O1621),ISNUMBER(P1621),O1621&gt;0),ROUND((O1621-P1621)/O1621*100,1),"")</f>
        <v/>
      </c>
    </row>
    <row r="1622">
      <c r="Q1622">
        <f>IF(AND(ISNUMBER(O1622),ISNUMBER(P1622),O1622&gt;0),ROUND((O1622-P1622)/O1622*100,1),"")</f>
        <v/>
      </c>
    </row>
    <row r="1623">
      <c r="Q1623">
        <f>IF(AND(ISNUMBER(O1623),ISNUMBER(P1623),O1623&gt;0),ROUND((O1623-P1623)/O1623*100,1),"")</f>
        <v/>
      </c>
    </row>
    <row r="1624">
      <c r="Q1624">
        <f>IF(AND(ISNUMBER(O1624),ISNUMBER(P1624),O1624&gt;0),ROUND((O1624-P1624)/O1624*100,1),"")</f>
        <v/>
      </c>
    </row>
    <row r="1625">
      <c r="Q1625">
        <f>IF(AND(ISNUMBER(O1625),ISNUMBER(P1625),O1625&gt;0),ROUND((O1625-P1625)/O1625*100,1),"")</f>
        <v/>
      </c>
    </row>
    <row r="1626">
      <c r="Q1626">
        <f>IF(AND(ISNUMBER(O1626),ISNUMBER(P1626),O1626&gt;0),ROUND((O1626-P1626)/O1626*100,1),"")</f>
        <v/>
      </c>
    </row>
    <row r="1627">
      <c r="Q1627">
        <f>IF(AND(ISNUMBER(O1627),ISNUMBER(P1627),O1627&gt;0),ROUND((O1627-P1627)/O1627*100,1),"")</f>
        <v/>
      </c>
    </row>
    <row r="1628">
      <c r="Q1628">
        <f>IF(AND(ISNUMBER(O1628),ISNUMBER(P1628),O1628&gt;0),ROUND((O1628-P1628)/O1628*100,1),"")</f>
        <v/>
      </c>
    </row>
    <row r="1629">
      <c r="Q1629">
        <f>IF(AND(ISNUMBER(O1629),ISNUMBER(P1629),O1629&gt;0),ROUND((O1629-P1629)/O1629*100,1),"")</f>
        <v/>
      </c>
    </row>
    <row r="1630">
      <c r="Q1630">
        <f>IF(AND(ISNUMBER(O1630),ISNUMBER(P1630),O1630&gt;0),ROUND((O1630-P1630)/O1630*100,1),"")</f>
        <v/>
      </c>
    </row>
    <row r="1631">
      <c r="Q1631">
        <f>IF(AND(ISNUMBER(O1631),ISNUMBER(P1631),O1631&gt;0),ROUND((O1631-P1631)/O1631*100,1),"")</f>
        <v/>
      </c>
    </row>
    <row r="1632">
      <c r="Q1632">
        <f>IF(AND(ISNUMBER(O1632),ISNUMBER(P1632),O1632&gt;0),ROUND((O1632-P1632)/O1632*100,1),"")</f>
        <v/>
      </c>
    </row>
    <row r="1633">
      <c r="Q1633">
        <f>IF(AND(ISNUMBER(O1633),ISNUMBER(P1633),O1633&gt;0),ROUND((O1633-P1633)/O1633*100,1),"")</f>
        <v/>
      </c>
    </row>
    <row r="1634">
      <c r="Q1634">
        <f>IF(AND(ISNUMBER(O1634),ISNUMBER(P1634),O1634&gt;0),ROUND((O1634-P1634)/O1634*100,1),"")</f>
        <v/>
      </c>
    </row>
    <row r="1635">
      <c r="Q1635">
        <f>IF(AND(ISNUMBER(O1635),ISNUMBER(P1635),O1635&gt;0),ROUND((O1635-P1635)/O1635*100,1),"")</f>
        <v/>
      </c>
    </row>
    <row r="1636">
      <c r="Q1636">
        <f>IF(AND(ISNUMBER(O1636),ISNUMBER(P1636),O1636&gt;0),ROUND((O1636-P1636)/O1636*100,1),"")</f>
        <v/>
      </c>
    </row>
    <row r="1637">
      <c r="Q1637">
        <f>IF(AND(ISNUMBER(O1637),ISNUMBER(P1637),O1637&gt;0),ROUND((O1637-P1637)/O1637*100,1),"")</f>
        <v/>
      </c>
    </row>
    <row r="1638">
      <c r="Q1638">
        <f>IF(AND(ISNUMBER(O1638),ISNUMBER(P1638),O1638&gt;0),ROUND((O1638-P1638)/O1638*100,1),"")</f>
        <v/>
      </c>
    </row>
    <row r="1639">
      <c r="Q1639">
        <f>IF(AND(ISNUMBER(O1639),ISNUMBER(P1639),O1639&gt;0),ROUND((O1639-P1639)/O1639*100,1),"")</f>
        <v/>
      </c>
    </row>
    <row r="1640">
      <c r="Q1640">
        <f>IF(AND(ISNUMBER(O1640),ISNUMBER(P1640),O1640&gt;0),ROUND((O1640-P1640)/O1640*100,1),"")</f>
        <v/>
      </c>
    </row>
    <row r="1641">
      <c r="Q1641">
        <f>IF(AND(ISNUMBER(O1641),ISNUMBER(P1641),O1641&gt;0),ROUND((O1641-P1641)/O1641*100,1),"")</f>
        <v/>
      </c>
    </row>
    <row r="1642">
      <c r="Q1642">
        <f>IF(AND(ISNUMBER(O1642),ISNUMBER(P1642),O1642&gt;0),ROUND((O1642-P1642)/O1642*100,1),"")</f>
        <v/>
      </c>
    </row>
    <row r="1643">
      <c r="Q1643">
        <f>IF(AND(ISNUMBER(O1643),ISNUMBER(P1643),O1643&gt;0),ROUND((O1643-P1643)/O1643*100,1),"")</f>
        <v/>
      </c>
    </row>
    <row r="1644">
      <c r="Q1644">
        <f>IF(AND(ISNUMBER(O1644),ISNUMBER(P1644),O1644&gt;0),ROUND((O1644-P1644)/O1644*100,1),"")</f>
        <v/>
      </c>
    </row>
    <row r="1645">
      <c r="Q1645">
        <f>IF(AND(ISNUMBER(O1645),ISNUMBER(P1645),O1645&gt;0),ROUND((O1645-P1645)/O1645*100,1),"")</f>
        <v/>
      </c>
    </row>
    <row r="1646">
      <c r="Q1646">
        <f>IF(AND(ISNUMBER(O1646),ISNUMBER(P1646),O1646&gt;0),ROUND((O1646-P1646)/O1646*100,1),"")</f>
        <v/>
      </c>
    </row>
    <row r="1647">
      <c r="Q1647">
        <f>IF(AND(ISNUMBER(O1647),ISNUMBER(P1647),O1647&gt;0),ROUND((O1647-P1647)/O1647*100,1),"")</f>
        <v/>
      </c>
    </row>
    <row r="1648">
      <c r="Q1648">
        <f>IF(AND(ISNUMBER(O1648),ISNUMBER(P1648),O1648&gt;0),ROUND((O1648-P1648)/O1648*100,1),"")</f>
        <v/>
      </c>
    </row>
    <row r="1649">
      <c r="Q1649">
        <f>IF(AND(ISNUMBER(O1649),ISNUMBER(P1649),O1649&gt;0),ROUND((O1649-P1649)/O1649*100,1),"")</f>
        <v/>
      </c>
    </row>
    <row r="1650">
      <c r="Q1650">
        <f>IF(AND(ISNUMBER(O1650),ISNUMBER(P1650),O1650&gt;0),ROUND((O1650-P1650)/O1650*100,1),"")</f>
        <v/>
      </c>
    </row>
    <row r="1651">
      <c r="Q1651">
        <f>IF(AND(ISNUMBER(O1651),ISNUMBER(P1651),O1651&gt;0),ROUND((O1651-P1651)/O1651*100,1),"")</f>
        <v/>
      </c>
    </row>
    <row r="1652">
      <c r="Q1652">
        <f>IF(AND(ISNUMBER(O1652),ISNUMBER(P1652),O1652&gt;0),ROUND((O1652-P1652)/O1652*100,1),"")</f>
        <v/>
      </c>
    </row>
    <row r="1653">
      <c r="Q1653">
        <f>IF(AND(ISNUMBER(O1653),ISNUMBER(P1653),O1653&gt;0),ROUND((O1653-P1653)/O1653*100,1),"")</f>
        <v/>
      </c>
    </row>
    <row r="1654">
      <c r="Q1654">
        <f>IF(AND(ISNUMBER(O1654),ISNUMBER(P1654),O1654&gt;0),ROUND((O1654-P1654)/O1654*100,1),"")</f>
        <v/>
      </c>
    </row>
    <row r="1655">
      <c r="Q1655">
        <f>IF(AND(ISNUMBER(O1655),ISNUMBER(P1655),O1655&gt;0),ROUND((O1655-P1655)/O1655*100,1),"")</f>
        <v/>
      </c>
    </row>
    <row r="1656">
      <c r="Q1656">
        <f>IF(AND(ISNUMBER(O1656),ISNUMBER(P1656),O1656&gt;0),ROUND((O1656-P1656)/O1656*100,1),"")</f>
        <v/>
      </c>
    </row>
    <row r="1657">
      <c r="Q1657">
        <f>IF(AND(ISNUMBER(O1657),ISNUMBER(P1657),O1657&gt;0),ROUND((O1657-P1657)/O1657*100,1),"")</f>
        <v/>
      </c>
    </row>
    <row r="1658">
      <c r="Q1658">
        <f>IF(AND(ISNUMBER(O1658),ISNUMBER(P1658),O1658&gt;0),ROUND((O1658-P1658)/O1658*100,1),"")</f>
        <v/>
      </c>
    </row>
    <row r="1659">
      <c r="Q1659">
        <f>IF(AND(ISNUMBER(O1659),ISNUMBER(P1659),O1659&gt;0),ROUND((O1659-P1659)/O1659*100,1),"")</f>
        <v/>
      </c>
    </row>
    <row r="1660">
      <c r="Q1660">
        <f>IF(AND(ISNUMBER(O1660),ISNUMBER(P1660),O1660&gt;0),ROUND((O1660-P1660)/O1660*100,1),"")</f>
        <v/>
      </c>
    </row>
    <row r="1661">
      <c r="Q1661">
        <f>IF(AND(ISNUMBER(O1661),ISNUMBER(P1661),O1661&gt;0),ROUND((O1661-P1661)/O1661*100,1),"")</f>
        <v/>
      </c>
    </row>
    <row r="1662">
      <c r="Q1662">
        <f>IF(AND(ISNUMBER(O1662),ISNUMBER(P1662),O1662&gt;0),ROUND((O1662-P1662)/O1662*100,1),"")</f>
        <v/>
      </c>
    </row>
    <row r="1663">
      <c r="Q1663">
        <f>IF(AND(ISNUMBER(O1663),ISNUMBER(P1663),O1663&gt;0),ROUND((O1663-P1663)/O1663*100,1),"")</f>
        <v/>
      </c>
    </row>
    <row r="1664">
      <c r="Q1664">
        <f>IF(AND(ISNUMBER(O1664),ISNUMBER(P1664),O1664&gt;0),ROUND((O1664-P1664)/O1664*100,1),"")</f>
        <v/>
      </c>
    </row>
    <row r="1665">
      <c r="Q1665">
        <f>IF(AND(ISNUMBER(O1665),ISNUMBER(P1665),O1665&gt;0),ROUND((O1665-P1665)/O1665*100,1),"")</f>
        <v/>
      </c>
    </row>
    <row r="1666">
      <c r="Q1666">
        <f>IF(AND(ISNUMBER(O1666),ISNUMBER(P1666),O1666&gt;0),ROUND((O1666-P1666)/O1666*100,1),"")</f>
        <v/>
      </c>
    </row>
    <row r="1667">
      <c r="Q1667">
        <f>IF(AND(ISNUMBER(O1667),ISNUMBER(P1667),O1667&gt;0),ROUND((O1667-P1667)/O1667*100,1),"")</f>
        <v/>
      </c>
    </row>
    <row r="1668">
      <c r="Q1668">
        <f>IF(AND(ISNUMBER(O1668),ISNUMBER(P1668),O1668&gt;0),ROUND((O1668-P1668)/O1668*100,1),"")</f>
        <v/>
      </c>
    </row>
    <row r="1669">
      <c r="Q1669">
        <f>IF(AND(ISNUMBER(O1669),ISNUMBER(P1669),O1669&gt;0),ROUND((O1669-P1669)/O1669*100,1),"")</f>
        <v/>
      </c>
    </row>
    <row r="1670">
      <c r="Q1670">
        <f>IF(AND(ISNUMBER(O1670),ISNUMBER(P1670),O1670&gt;0),ROUND((O1670-P1670)/O1670*100,1),"")</f>
        <v/>
      </c>
    </row>
    <row r="1671">
      <c r="Q1671">
        <f>IF(AND(ISNUMBER(O1671),ISNUMBER(P1671),O1671&gt;0),ROUND((O1671-P1671)/O1671*100,1),"")</f>
        <v/>
      </c>
    </row>
    <row r="1672">
      <c r="Q1672">
        <f>IF(AND(ISNUMBER(O1672),ISNUMBER(P1672),O1672&gt;0),ROUND((O1672-P1672)/O1672*100,1),"")</f>
        <v/>
      </c>
    </row>
    <row r="1673">
      <c r="Q1673">
        <f>IF(AND(ISNUMBER(O1673),ISNUMBER(P1673),O1673&gt;0),ROUND((O1673-P1673)/O1673*100,1),"")</f>
        <v/>
      </c>
    </row>
    <row r="1674">
      <c r="Q1674">
        <f>IF(AND(ISNUMBER(O1674),ISNUMBER(P1674),O1674&gt;0),ROUND((O1674-P1674)/O1674*100,1),"")</f>
        <v/>
      </c>
    </row>
    <row r="1675">
      <c r="Q1675">
        <f>IF(AND(ISNUMBER(O1675),ISNUMBER(P1675),O1675&gt;0),ROUND((O1675-P1675)/O1675*100,1),"")</f>
        <v/>
      </c>
    </row>
    <row r="1676">
      <c r="Q1676">
        <f>IF(AND(ISNUMBER(O1676),ISNUMBER(P1676),O1676&gt;0),ROUND((O1676-P1676)/O1676*100,1),"")</f>
        <v/>
      </c>
    </row>
    <row r="1677">
      <c r="Q1677">
        <f>IF(AND(ISNUMBER(O1677),ISNUMBER(P1677),O1677&gt;0),ROUND((O1677-P1677)/O1677*100,1),"")</f>
        <v/>
      </c>
    </row>
    <row r="1678">
      <c r="Q1678">
        <f>IF(AND(ISNUMBER(O1678),ISNUMBER(P1678),O1678&gt;0),ROUND((O1678-P1678)/O1678*100,1),"")</f>
        <v/>
      </c>
    </row>
    <row r="1679">
      <c r="Q1679">
        <f>IF(AND(ISNUMBER(O1679),ISNUMBER(P1679),O1679&gt;0),ROUND((O1679-P1679)/O1679*100,1),"")</f>
        <v/>
      </c>
    </row>
    <row r="1680">
      <c r="Q1680">
        <f>IF(AND(ISNUMBER(O1680),ISNUMBER(P1680),O1680&gt;0),ROUND((O1680-P1680)/O1680*100,1),"")</f>
        <v/>
      </c>
    </row>
    <row r="1681">
      <c r="Q1681">
        <f>IF(AND(ISNUMBER(O1681),ISNUMBER(P1681),O1681&gt;0),ROUND((O1681-P1681)/O1681*100,1),"")</f>
        <v/>
      </c>
    </row>
    <row r="1682">
      <c r="Q1682">
        <f>IF(AND(ISNUMBER(O1682),ISNUMBER(P1682),O1682&gt;0),ROUND((O1682-P1682)/O1682*100,1),"")</f>
        <v/>
      </c>
    </row>
    <row r="1683">
      <c r="Q1683">
        <f>IF(AND(ISNUMBER(O1683),ISNUMBER(P1683),O1683&gt;0),ROUND((O1683-P1683)/O1683*100,1),"")</f>
        <v/>
      </c>
    </row>
    <row r="1684">
      <c r="Q1684">
        <f>IF(AND(ISNUMBER(O1684),ISNUMBER(P1684),O1684&gt;0),ROUND((O1684-P1684)/O1684*100,1),"")</f>
        <v/>
      </c>
    </row>
    <row r="1685">
      <c r="Q1685">
        <f>IF(AND(ISNUMBER(O1685),ISNUMBER(P1685),O1685&gt;0),ROUND((O1685-P1685)/O1685*100,1),"")</f>
        <v/>
      </c>
    </row>
    <row r="1686">
      <c r="Q1686">
        <f>IF(AND(ISNUMBER(O1686),ISNUMBER(P1686),O1686&gt;0),ROUND((O1686-P1686)/O1686*100,1),"")</f>
        <v/>
      </c>
    </row>
    <row r="1687">
      <c r="Q1687">
        <f>IF(AND(ISNUMBER(O1687),ISNUMBER(P1687),O1687&gt;0),ROUND((O1687-P1687)/O1687*100,1),"")</f>
        <v/>
      </c>
    </row>
    <row r="1688">
      <c r="Q1688">
        <f>IF(AND(ISNUMBER(O1688),ISNUMBER(P1688),O1688&gt;0),ROUND((O1688-P1688)/O1688*100,1),"")</f>
        <v/>
      </c>
    </row>
    <row r="1689">
      <c r="Q1689">
        <f>IF(AND(ISNUMBER(O1689),ISNUMBER(P1689),O1689&gt;0),ROUND((O1689-P1689)/O1689*100,1),"")</f>
        <v/>
      </c>
    </row>
    <row r="1690">
      <c r="Q1690">
        <f>IF(AND(ISNUMBER(O1690),ISNUMBER(P1690),O1690&gt;0),ROUND((O1690-P1690)/O1690*100,1),"")</f>
        <v/>
      </c>
    </row>
    <row r="1691">
      <c r="Q1691">
        <f>IF(AND(ISNUMBER(O1691),ISNUMBER(P1691),O1691&gt;0),ROUND((O1691-P1691)/O1691*100,1),"")</f>
        <v/>
      </c>
    </row>
    <row r="1692">
      <c r="Q1692">
        <f>IF(AND(ISNUMBER(O1692),ISNUMBER(P1692),O1692&gt;0),ROUND((O1692-P1692)/O1692*100,1),"")</f>
        <v/>
      </c>
    </row>
    <row r="1693">
      <c r="Q1693">
        <f>IF(AND(ISNUMBER(O1693),ISNUMBER(P1693),O1693&gt;0),ROUND((O1693-P1693)/O1693*100,1),"")</f>
        <v/>
      </c>
    </row>
    <row r="1694">
      <c r="Q1694">
        <f>IF(AND(ISNUMBER(O1694),ISNUMBER(P1694),O1694&gt;0),ROUND((O1694-P1694)/O1694*100,1),"")</f>
        <v/>
      </c>
    </row>
    <row r="1695">
      <c r="Q1695">
        <f>IF(AND(ISNUMBER(O1695),ISNUMBER(P1695),O1695&gt;0),ROUND((O1695-P1695)/O1695*100,1),"")</f>
        <v/>
      </c>
    </row>
    <row r="1696">
      <c r="Q1696">
        <f>IF(AND(ISNUMBER(O1696),ISNUMBER(P1696),O1696&gt;0),ROUND((O1696-P1696)/O1696*100,1),"")</f>
        <v/>
      </c>
    </row>
    <row r="1697">
      <c r="Q1697">
        <f>IF(AND(ISNUMBER(O1697),ISNUMBER(P1697),O1697&gt;0),ROUND((O1697-P1697)/O1697*100,1),"")</f>
        <v/>
      </c>
    </row>
    <row r="1698">
      <c r="Q1698">
        <f>IF(AND(ISNUMBER(O1698),ISNUMBER(P1698),O1698&gt;0),ROUND((O1698-P1698)/O1698*100,1),"")</f>
        <v/>
      </c>
    </row>
    <row r="1699">
      <c r="Q1699">
        <f>IF(AND(ISNUMBER(O1699),ISNUMBER(P1699),O1699&gt;0),ROUND((O1699-P1699)/O1699*100,1),"")</f>
        <v/>
      </c>
    </row>
    <row r="1700">
      <c r="Q1700">
        <f>IF(AND(ISNUMBER(O1700),ISNUMBER(P1700),O1700&gt;0),ROUND((O1700-P1700)/O1700*100,1),"")</f>
        <v/>
      </c>
    </row>
    <row r="1701">
      <c r="Q1701">
        <f>IF(AND(ISNUMBER(O1701),ISNUMBER(P1701),O1701&gt;0),ROUND((O1701-P1701)/O1701*100,1),"")</f>
        <v/>
      </c>
    </row>
    <row r="1702">
      <c r="Q1702">
        <f>IF(AND(ISNUMBER(O1702),ISNUMBER(P1702),O1702&gt;0),ROUND((O1702-P1702)/O1702*100,1),"")</f>
        <v/>
      </c>
    </row>
    <row r="1703">
      <c r="Q1703">
        <f>IF(AND(ISNUMBER(O1703),ISNUMBER(P1703),O1703&gt;0),ROUND((O1703-P1703)/O1703*100,1),"")</f>
        <v/>
      </c>
    </row>
    <row r="1704">
      <c r="Q1704">
        <f>IF(AND(ISNUMBER(O1704),ISNUMBER(P1704),O1704&gt;0),ROUND((O1704-P1704)/O1704*100,1),"")</f>
        <v/>
      </c>
    </row>
    <row r="1705">
      <c r="Q1705">
        <f>IF(AND(ISNUMBER(O1705),ISNUMBER(P1705),O1705&gt;0),ROUND((O1705-P1705)/O1705*100,1),"")</f>
        <v/>
      </c>
    </row>
    <row r="1706">
      <c r="Q1706">
        <f>IF(AND(ISNUMBER(O1706),ISNUMBER(P1706),O1706&gt;0),ROUND((O1706-P1706)/O1706*100,1),"")</f>
        <v/>
      </c>
    </row>
    <row r="1707">
      <c r="Q1707">
        <f>IF(AND(ISNUMBER(O1707),ISNUMBER(P1707),O1707&gt;0),ROUND((O1707-P1707)/O1707*100,1),"")</f>
        <v/>
      </c>
    </row>
    <row r="1708">
      <c r="Q1708">
        <f>IF(AND(ISNUMBER(O1708),ISNUMBER(P1708),O1708&gt;0),ROUND((O1708-P1708)/O1708*100,1),"")</f>
        <v/>
      </c>
    </row>
    <row r="1709">
      <c r="Q1709">
        <f>IF(AND(ISNUMBER(O1709),ISNUMBER(P1709),O1709&gt;0),ROUND((O1709-P1709)/O1709*100,1),"")</f>
        <v/>
      </c>
    </row>
    <row r="1710">
      <c r="Q1710">
        <f>IF(AND(ISNUMBER(O1710),ISNUMBER(P1710),O1710&gt;0),ROUND((O1710-P1710)/O1710*100,1),"")</f>
        <v/>
      </c>
    </row>
    <row r="1711">
      <c r="Q1711">
        <f>IF(AND(ISNUMBER(O1711),ISNUMBER(P1711),O1711&gt;0),ROUND((O1711-P1711)/O1711*100,1),"")</f>
        <v/>
      </c>
    </row>
    <row r="1712">
      <c r="Q1712">
        <f>IF(AND(ISNUMBER(O1712),ISNUMBER(P1712),O1712&gt;0),ROUND((O1712-P1712)/O1712*100,1),"")</f>
        <v/>
      </c>
    </row>
    <row r="1713">
      <c r="Q1713">
        <f>IF(AND(ISNUMBER(O1713),ISNUMBER(P1713),O1713&gt;0),ROUND((O1713-P1713)/O1713*100,1),"")</f>
        <v/>
      </c>
    </row>
    <row r="1714">
      <c r="Q1714">
        <f>IF(AND(ISNUMBER(O1714),ISNUMBER(P1714),O1714&gt;0),ROUND((O1714-P1714)/O1714*100,1),"")</f>
        <v/>
      </c>
    </row>
    <row r="1715">
      <c r="Q1715">
        <f>IF(AND(ISNUMBER(O1715),ISNUMBER(P1715),O1715&gt;0),ROUND((O1715-P1715)/O1715*100,1),"")</f>
        <v/>
      </c>
    </row>
    <row r="1716">
      <c r="Q1716">
        <f>IF(AND(ISNUMBER(O1716),ISNUMBER(P1716),O1716&gt;0),ROUND((O1716-P1716)/O1716*100,1),"")</f>
        <v/>
      </c>
    </row>
    <row r="1717">
      <c r="Q1717">
        <f>IF(AND(ISNUMBER(O1717),ISNUMBER(P1717),O1717&gt;0),ROUND((O1717-P1717)/O1717*100,1),"")</f>
        <v/>
      </c>
    </row>
    <row r="1718">
      <c r="Q1718">
        <f>IF(AND(ISNUMBER(O1718),ISNUMBER(P1718),O1718&gt;0),ROUND((O1718-P1718)/O1718*100,1),"")</f>
        <v/>
      </c>
    </row>
    <row r="1719">
      <c r="Q1719">
        <f>IF(AND(ISNUMBER(O1719),ISNUMBER(P1719),O1719&gt;0),ROUND((O1719-P1719)/O1719*100,1),"")</f>
        <v/>
      </c>
    </row>
    <row r="1720">
      <c r="Q1720">
        <f>IF(AND(ISNUMBER(O1720),ISNUMBER(P1720),O1720&gt;0),ROUND((O1720-P1720)/O1720*100,1),"")</f>
        <v/>
      </c>
    </row>
    <row r="1721">
      <c r="Q1721">
        <f>IF(AND(ISNUMBER(O1721),ISNUMBER(P1721),O1721&gt;0),ROUND((O1721-P1721)/O1721*100,1),"")</f>
        <v/>
      </c>
    </row>
    <row r="1722">
      <c r="Q1722">
        <f>IF(AND(ISNUMBER(O1722),ISNUMBER(P1722),O1722&gt;0),ROUND((O1722-P1722)/O1722*100,1),"")</f>
        <v/>
      </c>
    </row>
    <row r="1723">
      <c r="Q1723">
        <f>IF(AND(ISNUMBER(O1723),ISNUMBER(P1723),O1723&gt;0),ROUND((O1723-P1723)/O1723*100,1),"")</f>
        <v/>
      </c>
    </row>
    <row r="1724">
      <c r="Q1724">
        <f>IF(AND(ISNUMBER(O1724),ISNUMBER(P1724),O1724&gt;0),ROUND((O1724-P1724)/O1724*100,1),"")</f>
        <v/>
      </c>
    </row>
    <row r="1725">
      <c r="Q1725">
        <f>IF(AND(ISNUMBER(O1725),ISNUMBER(P1725),O1725&gt;0),ROUND((O1725-P1725)/O1725*100,1),"")</f>
        <v/>
      </c>
    </row>
    <row r="1726">
      <c r="Q1726">
        <f>IF(AND(ISNUMBER(O1726),ISNUMBER(P1726),O1726&gt;0),ROUND((O1726-P1726)/O1726*100,1),"")</f>
        <v/>
      </c>
    </row>
    <row r="1727">
      <c r="Q1727">
        <f>IF(AND(ISNUMBER(O1727),ISNUMBER(P1727),O1727&gt;0),ROUND((O1727-P1727)/O1727*100,1),"")</f>
        <v/>
      </c>
    </row>
    <row r="1728">
      <c r="Q1728">
        <f>IF(AND(ISNUMBER(O1728),ISNUMBER(P1728),O1728&gt;0),ROUND((O1728-P1728)/O1728*100,1),"")</f>
        <v/>
      </c>
    </row>
    <row r="1729">
      <c r="Q1729">
        <f>IF(AND(ISNUMBER(O1729),ISNUMBER(P1729),O1729&gt;0),ROUND((O1729-P1729)/O1729*100,1),"")</f>
        <v/>
      </c>
    </row>
    <row r="1730">
      <c r="Q1730">
        <f>IF(AND(ISNUMBER(O1730),ISNUMBER(P1730),O1730&gt;0),ROUND((O1730-P1730)/O1730*100,1),"")</f>
        <v/>
      </c>
    </row>
    <row r="1731">
      <c r="Q1731">
        <f>IF(AND(ISNUMBER(O1731),ISNUMBER(P1731),O1731&gt;0),ROUND((O1731-P1731)/O1731*100,1),"")</f>
        <v/>
      </c>
    </row>
    <row r="1732">
      <c r="Q1732">
        <f>IF(AND(ISNUMBER(O1732),ISNUMBER(P1732),O1732&gt;0),ROUND((O1732-P1732)/O1732*100,1),"")</f>
        <v/>
      </c>
    </row>
    <row r="1733">
      <c r="Q1733">
        <f>IF(AND(ISNUMBER(O1733),ISNUMBER(P1733),O1733&gt;0),ROUND((O1733-P1733)/O1733*100,1),"")</f>
        <v/>
      </c>
    </row>
    <row r="1734">
      <c r="Q1734">
        <f>IF(AND(ISNUMBER(O1734),ISNUMBER(P1734),O1734&gt;0),ROUND((O1734-P1734)/O1734*100,1),"")</f>
        <v/>
      </c>
    </row>
    <row r="1735">
      <c r="Q1735">
        <f>IF(AND(ISNUMBER(O1735),ISNUMBER(P1735),O1735&gt;0),ROUND((O1735-P1735)/O1735*100,1),"")</f>
        <v/>
      </c>
    </row>
    <row r="1736">
      <c r="Q1736">
        <f>IF(AND(ISNUMBER(O1736),ISNUMBER(P1736),O1736&gt;0),ROUND((O1736-P1736)/O1736*100,1),"")</f>
        <v/>
      </c>
    </row>
    <row r="1737">
      <c r="Q1737">
        <f>IF(AND(ISNUMBER(O1737),ISNUMBER(P1737),O1737&gt;0),ROUND((O1737-P1737)/O1737*100,1),"")</f>
        <v/>
      </c>
    </row>
    <row r="1738">
      <c r="Q1738">
        <f>IF(AND(ISNUMBER(O1738),ISNUMBER(P1738),O1738&gt;0),ROUND((O1738-P1738)/O1738*100,1),"")</f>
        <v/>
      </c>
    </row>
    <row r="1739">
      <c r="Q1739">
        <f>IF(AND(ISNUMBER(O1739),ISNUMBER(P1739),O1739&gt;0),ROUND((O1739-P1739)/O1739*100,1),"")</f>
        <v/>
      </c>
    </row>
    <row r="1740">
      <c r="Q1740">
        <f>IF(AND(ISNUMBER(O1740),ISNUMBER(P1740),O1740&gt;0),ROUND((O1740-P1740)/O1740*100,1),"")</f>
        <v/>
      </c>
    </row>
    <row r="1741">
      <c r="Q1741">
        <f>IF(AND(ISNUMBER(O1741),ISNUMBER(P1741),O1741&gt;0),ROUND((O1741-P1741)/O1741*100,1),"")</f>
        <v/>
      </c>
    </row>
    <row r="1742">
      <c r="Q1742">
        <f>IF(AND(ISNUMBER(O1742),ISNUMBER(P1742),O1742&gt;0),ROUND((O1742-P1742)/O1742*100,1),"")</f>
        <v/>
      </c>
    </row>
    <row r="1743">
      <c r="Q1743">
        <f>IF(AND(ISNUMBER(O1743),ISNUMBER(P1743),O1743&gt;0),ROUND((O1743-P1743)/O1743*100,1),"")</f>
        <v/>
      </c>
    </row>
    <row r="1744">
      <c r="Q1744">
        <f>IF(AND(ISNUMBER(O1744),ISNUMBER(P1744),O1744&gt;0),ROUND((O1744-P1744)/O1744*100,1),"")</f>
        <v/>
      </c>
    </row>
    <row r="1745">
      <c r="Q1745">
        <f>IF(AND(ISNUMBER(O1745),ISNUMBER(P1745),O1745&gt;0),ROUND((O1745-P1745)/O1745*100,1),"")</f>
        <v/>
      </c>
    </row>
    <row r="1746">
      <c r="Q1746">
        <f>IF(AND(ISNUMBER(O1746),ISNUMBER(P1746),O1746&gt;0),ROUND((O1746-P1746)/O1746*100,1),"")</f>
        <v/>
      </c>
    </row>
    <row r="1747">
      <c r="Q1747">
        <f>IF(AND(ISNUMBER(O1747),ISNUMBER(P1747),O1747&gt;0),ROUND((O1747-P1747)/O1747*100,1),"")</f>
        <v/>
      </c>
    </row>
    <row r="1748">
      <c r="Q1748">
        <f>IF(AND(ISNUMBER(O1748),ISNUMBER(P1748),O1748&gt;0),ROUND((O1748-P1748)/O1748*100,1),"")</f>
        <v/>
      </c>
    </row>
    <row r="1749">
      <c r="Q1749">
        <f>IF(AND(ISNUMBER(O1749),ISNUMBER(P1749),O1749&gt;0),ROUND((O1749-P1749)/O1749*100,1),"")</f>
        <v/>
      </c>
    </row>
    <row r="1750">
      <c r="Q1750">
        <f>IF(AND(ISNUMBER(O1750),ISNUMBER(P1750),O1750&gt;0),ROUND((O1750-P1750)/O1750*100,1),"")</f>
        <v/>
      </c>
    </row>
    <row r="1751">
      <c r="Q1751">
        <f>IF(AND(ISNUMBER(O1751),ISNUMBER(P1751),O1751&gt;0),ROUND((O1751-P1751)/O1751*100,1),"")</f>
        <v/>
      </c>
    </row>
    <row r="1752">
      <c r="Q1752">
        <f>IF(AND(ISNUMBER(O1752),ISNUMBER(P1752),O1752&gt;0),ROUND((O1752-P1752)/O1752*100,1),"")</f>
        <v/>
      </c>
    </row>
    <row r="1753">
      <c r="Q1753">
        <f>IF(AND(ISNUMBER(O1753),ISNUMBER(P1753),O1753&gt;0),ROUND((O1753-P1753)/O1753*100,1),"")</f>
        <v/>
      </c>
    </row>
    <row r="1754">
      <c r="Q1754">
        <f>IF(AND(ISNUMBER(O1754),ISNUMBER(P1754),O1754&gt;0),ROUND((O1754-P1754)/O1754*100,1),"")</f>
        <v/>
      </c>
    </row>
    <row r="1755">
      <c r="Q1755">
        <f>IF(AND(ISNUMBER(O1755),ISNUMBER(P1755),O1755&gt;0),ROUND((O1755-P1755)/O1755*100,1),"")</f>
        <v/>
      </c>
    </row>
    <row r="1756">
      <c r="Q1756">
        <f>IF(AND(ISNUMBER(O1756),ISNUMBER(P1756),O1756&gt;0),ROUND((O1756-P1756)/O1756*100,1),"")</f>
        <v/>
      </c>
    </row>
    <row r="1757">
      <c r="Q1757">
        <f>IF(AND(ISNUMBER(O1757),ISNUMBER(P1757),O1757&gt;0),ROUND((O1757-P1757)/O1757*100,1),"")</f>
        <v/>
      </c>
    </row>
    <row r="1758">
      <c r="Q1758">
        <f>IF(AND(ISNUMBER(O1758),ISNUMBER(P1758),O1758&gt;0),ROUND((O1758-P1758)/O1758*100,1),"")</f>
        <v/>
      </c>
    </row>
    <row r="1759">
      <c r="Q1759">
        <f>IF(AND(ISNUMBER(O1759),ISNUMBER(P1759),O1759&gt;0),ROUND((O1759-P1759)/O1759*100,1),"")</f>
        <v/>
      </c>
    </row>
    <row r="1760">
      <c r="Q1760">
        <f>IF(AND(ISNUMBER(O1760),ISNUMBER(P1760),O1760&gt;0),ROUND((O1760-P1760)/O1760*100,1),"")</f>
        <v/>
      </c>
    </row>
    <row r="1761">
      <c r="Q1761">
        <f>IF(AND(ISNUMBER(O1761),ISNUMBER(P1761),O1761&gt;0),ROUND((O1761-P1761)/O1761*100,1),"")</f>
        <v/>
      </c>
    </row>
    <row r="1762">
      <c r="Q1762">
        <f>IF(AND(ISNUMBER(O1762),ISNUMBER(P1762),O1762&gt;0),ROUND((O1762-P1762)/O1762*100,1),"")</f>
        <v/>
      </c>
    </row>
    <row r="1763">
      <c r="Q1763">
        <f>IF(AND(ISNUMBER(O1763),ISNUMBER(P1763),O1763&gt;0),ROUND((O1763-P1763)/O1763*100,1),"")</f>
        <v/>
      </c>
    </row>
    <row r="1764">
      <c r="Q1764">
        <f>IF(AND(ISNUMBER(O1764),ISNUMBER(P1764),O1764&gt;0),ROUND((O1764-P1764)/O1764*100,1),"")</f>
        <v/>
      </c>
    </row>
    <row r="1765">
      <c r="Q1765">
        <f>IF(AND(ISNUMBER(O1765),ISNUMBER(P1765),O1765&gt;0),ROUND((O1765-P1765)/O1765*100,1),"")</f>
        <v/>
      </c>
    </row>
    <row r="1766">
      <c r="Q1766">
        <f>IF(AND(ISNUMBER(O1766),ISNUMBER(P1766),O1766&gt;0),ROUND((O1766-P1766)/O1766*100,1),"")</f>
        <v/>
      </c>
    </row>
    <row r="1767">
      <c r="Q1767">
        <f>IF(AND(ISNUMBER(O1767),ISNUMBER(P1767),O1767&gt;0),ROUND((O1767-P1767)/O1767*100,1),"")</f>
        <v/>
      </c>
    </row>
    <row r="1768">
      <c r="Q1768">
        <f>IF(AND(ISNUMBER(O1768),ISNUMBER(P1768),O1768&gt;0),ROUND((O1768-P1768)/O1768*100,1),"")</f>
        <v/>
      </c>
    </row>
    <row r="1769">
      <c r="Q1769">
        <f>IF(AND(ISNUMBER(O1769),ISNUMBER(P1769),O1769&gt;0),ROUND((O1769-P1769)/O1769*100,1),"")</f>
        <v/>
      </c>
    </row>
    <row r="1770">
      <c r="Q1770">
        <f>IF(AND(ISNUMBER(O1770),ISNUMBER(P1770),O1770&gt;0),ROUND((O1770-P1770)/O1770*100,1),"")</f>
        <v/>
      </c>
    </row>
    <row r="1771">
      <c r="Q1771">
        <f>IF(AND(ISNUMBER(O1771),ISNUMBER(P1771),O1771&gt;0),ROUND((O1771-P1771)/O1771*100,1),"")</f>
        <v/>
      </c>
    </row>
    <row r="1772">
      <c r="Q1772">
        <f>IF(AND(ISNUMBER(O1772),ISNUMBER(P1772),O1772&gt;0),ROUND((O1772-P1772)/O1772*100,1),"")</f>
        <v/>
      </c>
    </row>
    <row r="1773">
      <c r="Q1773">
        <f>IF(AND(ISNUMBER(O1773),ISNUMBER(P1773),O1773&gt;0),ROUND((O1773-P1773)/O1773*100,1),"")</f>
        <v/>
      </c>
    </row>
    <row r="1774">
      <c r="Q1774">
        <f>IF(AND(ISNUMBER(O1774),ISNUMBER(P1774),O1774&gt;0),ROUND((O1774-P1774)/O1774*100,1),"")</f>
        <v/>
      </c>
    </row>
    <row r="1775">
      <c r="Q1775">
        <f>IF(AND(ISNUMBER(O1775),ISNUMBER(P1775),O1775&gt;0),ROUND((O1775-P1775)/O1775*100,1),"")</f>
        <v/>
      </c>
    </row>
    <row r="1776">
      <c r="Q1776">
        <f>IF(AND(ISNUMBER(O1776),ISNUMBER(P1776),O1776&gt;0),ROUND((O1776-P1776)/O1776*100,1),"")</f>
        <v/>
      </c>
    </row>
    <row r="1777">
      <c r="Q1777">
        <f>IF(AND(ISNUMBER(O1777),ISNUMBER(P1777),O1777&gt;0),ROUND((O1777-P1777)/O1777*100,1),"")</f>
        <v/>
      </c>
    </row>
    <row r="1778">
      <c r="Q1778">
        <f>IF(AND(ISNUMBER(O1778),ISNUMBER(P1778),O1778&gt;0),ROUND((O1778-P1778)/O1778*100,1),"")</f>
        <v/>
      </c>
    </row>
    <row r="1779">
      <c r="Q1779">
        <f>IF(AND(ISNUMBER(O1779),ISNUMBER(P1779),O1779&gt;0),ROUND((O1779-P1779)/O1779*100,1),"")</f>
        <v/>
      </c>
    </row>
    <row r="1780">
      <c r="Q1780">
        <f>IF(AND(ISNUMBER(O1780),ISNUMBER(P1780),O1780&gt;0),ROUND((O1780-P1780)/O1780*100,1),"")</f>
        <v/>
      </c>
    </row>
    <row r="1781">
      <c r="Q1781">
        <f>IF(AND(ISNUMBER(O1781),ISNUMBER(P1781),O1781&gt;0),ROUND((O1781-P1781)/O1781*100,1),"")</f>
        <v/>
      </c>
    </row>
    <row r="1782">
      <c r="Q1782">
        <f>IF(AND(ISNUMBER(O1782),ISNUMBER(P1782),O1782&gt;0),ROUND((O1782-P1782)/O1782*100,1),"")</f>
        <v/>
      </c>
    </row>
    <row r="1783">
      <c r="Q1783">
        <f>IF(AND(ISNUMBER(O1783),ISNUMBER(P1783),O1783&gt;0),ROUND((O1783-P1783)/O1783*100,1),"")</f>
        <v/>
      </c>
    </row>
    <row r="1784">
      <c r="Q1784">
        <f>IF(AND(ISNUMBER(O1784),ISNUMBER(P1784),O1784&gt;0),ROUND((O1784-P1784)/O1784*100,1),"")</f>
        <v/>
      </c>
    </row>
    <row r="1785">
      <c r="Q1785">
        <f>IF(AND(ISNUMBER(O1785),ISNUMBER(P1785),O1785&gt;0),ROUND((O1785-P1785)/O1785*100,1),"")</f>
        <v/>
      </c>
    </row>
    <row r="1786">
      <c r="Q1786">
        <f>IF(AND(ISNUMBER(O1786),ISNUMBER(P1786),O1786&gt;0),ROUND((O1786-P1786)/O1786*100,1),"")</f>
        <v/>
      </c>
    </row>
    <row r="1787">
      <c r="Q1787">
        <f>IF(AND(ISNUMBER(O1787),ISNUMBER(P1787),O1787&gt;0),ROUND((O1787-P1787)/O1787*100,1),"")</f>
        <v/>
      </c>
    </row>
    <row r="1788">
      <c r="Q1788">
        <f>IF(AND(ISNUMBER(O1788),ISNUMBER(P1788),O1788&gt;0),ROUND((O1788-P1788)/O1788*100,1),"")</f>
        <v/>
      </c>
    </row>
    <row r="1789">
      <c r="Q1789">
        <f>IF(AND(ISNUMBER(O1789),ISNUMBER(P1789),O1789&gt;0),ROUND((O1789-P1789)/O1789*100,1),"")</f>
        <v/>
      </c>
    </row>
    <row r="1790">
      <c r="Q1790">
        <f>IF(AND(ISNUMBER(O1790),ISNUMBER(P1790),O1790&gt;0),ROUND((O1790-P1790)/O1790*100,1),"")</f>
        <v/>
      </c>
    </row>
    <row r="1791">
      <c r="Q1791">
        <f>IF(AND(ISNUMBER(O1791),ISNUMBER(P1791),O1791&gt;0),ROUND((O1791-P1791)/O1791*100,1),"")</f>
        <v/>
      </c>
    </row>
    <row r="1792">
      <c r="Q1792">
        <f>IF(AND(ISNUMBER(O1792),ISNUMBER(P1792),O1792&gt;0),ROUND((O1792-P1792)/O1792*100,1),"")</f>
        <v/>
      </c>
    </row>
    <row r="1793">
      <c r="Q1793">
        <f>IF(AND(ISNUMBER(O1793),ISNUMBER(P1793),O1793&gt;0),ROUND((O1793-P1793)/O1793*100,1),"")</f>
        <v/>
      </c>
    </row>
    <row r="1794">
      <c r="Q1794">
        <f>IF(AND(ISNUMBER(O1794),ISNUMBER(P1794),O1794&gt;0),ROUND((O1794-P1794)/O1794*100,1),"")</f>
        <v/>
      </c>
    </row>
    <row r="1795">
      <c r="Q1795">
        <f>IF(AND(ISNUMBER(O1795),ISNUMBER(P1795),O1795&gt;0),ROUND((O1795-P1795)/O1795*100,1),"")</f>
        <v/>
      </c>
    </row>
    <row r="1796">
      <c r="Q1796">
        <f>IF(AND(ISNUMBER(O1796),ISNUMBER(P1796),O1796&gt;0),ROUND((O1796-P1796)/O1796*100,1),"")</f>
        <v/>
      </c>
    </row>
    <row r="1797">
      <c r="Q1797">
        <f>IF(AND(ISNUMBER(O1797),ISNUMBER(P1797),O1797&gt;0),ROUND((O1797-P1797)/O1797*100,1),"")</f>
        <v/>
      </c>
    </row>
    <row r="1798">
      <c r="Q1798">
        <f>IF(AND(ISNUMBER(O1798),ISNUMBER(P1798),O1798&gt;0),ROUND((O1798-P1798)/O1798*100,1),"")</f>
        <v/>
      </c>
    </row>
    <row r="1799">
      <c r="Q1799">
        <f>IF(AND(ISNUMBER(O1799),ISNUMBER(P1799),O1799&gt;0),ROUND((O1799-P1799)/O1799*100,1),"")</f>
        <v/>
      </c>
    </row>
    <row r="1800">
      <c r="Q1800">
        <f>IF(AND(ISNUMBER(O1800),ISNUMBER(P1800),O1800&gt;0),ROUND((O1800-P1800)/O1800*100,1),"")</f>
        <v/>
      </c>
    </row>
    <row r="1801">
      <c r="Q1801">
        <f>IF(AND(ISNUMBER(O1801),ISNUMBER(P1801),O1801&gt;0),ROUND((O1801-P1801)/O1801*100,1),"")</f>
        <v/>
      </c>
    </row>
    <row r="1802">
      <c r="Q1802">
        <f>IF(AND(ISNUMBER(O1802),ISNUMBER(P1802),O1802&gt;0),ROUND((O1802-P1802)/O1802*100,1),"")</f>
        <v/>
      </c>
    </row>
    <row r="1803">
      <c r="Q1803">
        <f>IF(AND(ISNUMBER(O1803),ISNUMBER(P1803),O1803&gt;0),ROUND((O1803-P1803)/O1803*100,1),"")</f>
        <v/>
      </c>
    </row>
    <row r="1804">
      <c r="Q1804">
        <f>IF(AND(ISNUMBER(O1804),ISNUMBER(P1804),O1804&gt;0),ROUND((O1804-P1804)/O1804*100,1),"")</f>
        <v/>
      </c>
    </row>
    <row r="1805">
      <c r="Q1805">
        <f>IF(AND(ISNUMBER(O1805),ISNUMBER(P1805),O1805&gt;0),ROUND((O1805-P1805)/O1805*100,1),"")</f>
        <v/>
      </c>
    </row>
    <row r="1806">
      <c r="Q1806">
        <f>IF(AND(ISNUMBER(O1806),ISNUMBER(P1806),O1806&gt;0),ROUND((O1806-P1806)/O1806*100,1),"")</f>
        <v/>
      </c>
    </row>
    <row r="1807">
      <c r="Q1807">
        <f>IF(AND(ISNUMBER(O1807),ISNUMBER(P1807),O1807&gt;0),ROUND((O1807-P1807)/O1807*100,1),"")</f>
        <v/>
      </c>
    </row>
    <row r="1808">
      <c r="Q1808">
        <f>IF(AND(ISNUMBER(O1808),ISNUMBER(P1808),O1808&gt;0),ROUND((O1808-P1808)/O1808*100,1),"")</f>
        <v/>
      </c>
    </row>
    <row r="1809">
      <c r="Q1809">
        <f>IF(AND(ISNUMBER(O1809),ISNUMBER(P1809),O1809&gt;0),ROUND((O1809-P1809)/O1809*100,1),"")</f>
        <v/>
      </c>
    </row>
    <row r="1810">
      <c r="Q1810">
        <f>IF(AND(ISNUMBER(O1810),ISNUMBER(P1810),O1810&gt;0),ROUND((O1810-P1810)/O1810*100,1),"")</f>
        <v/>
      </c>
    </row>
    <row r="1811">
      <c r="Q1811">
        <f>IF(AND(ISNUMBER(O1811),ISNUMBER(P1811),O1811&gt;0),ROUND((O1811-P1811)/O1811*100,1),"")</f>
        <v/>
      </c>
    </row>
    <row r="1812">
      <c r="Q1812">
        <f>IF(AND(ISNUMBER(O1812),ISNUMBER(P1812),O1812&gt;0),ROUND((O1812-P1812)/O1812*100,1),"")</f>
        <v/>
      </c>
    </row>
    <row r="1813">
      <c r="Q1813">
        <f>IF(AND(ISNUMBER(O1813),ISNUMBER(P1813),O1813&gt;0),ROUND((O1813-P1813)/O1813*100,1),"")</f>
        <v/>
      </c>
    </row>
    <row r="1814">
      <c r="Q1814">
        <f>IF(AND(ISNUMBER(O1814),ISNUMBER(P1814),O1814&gt;0),ROUND((O1814-P1814)/O1814*100,1),"")</f>
        <v/>
      </c>
    </row>
    <row r="1815">
      <c r="Q1815">
        <f>IF(AND(ISNUMBER(O1815),ISNUMBER(P1815),O1815&gt;0),ROUND((O1815-P1815)/O1815*100,1),"")</f>
        <v/>
      </c>
    </row>
    <row r="1816">
      <c r="Q1816">
        <f>IF(AND(ISNUMBER(O1816),ISNUMBER(P1816),O1816&gt;0),ROUND((O1816-P1816)/O1816*100,1),"")</f>
        <v/>
      </c>
    </row>
    <row r="1817">
      <c r="Q1817">
        <f>IF(AND(ISNUMBER(O1817),ISNUMBER(P1817),O1817&gt;0),ROUND((O1817-P1817)/O1817*100,1),"")</f>
        <v/>
      </c>
    </row>
    <row r="1818">
      <c r="Q1818">
        <f>IF(AND(ISNUMBER(O1818),ISNUMBER(P1818),O1818&gt;0),ROUND((O1818-P1818)/O1818*100,1),"")</f>
        <v/>
      </c>
    </row>
    <row r="1819">
      <c r="Q1819">
        <f>IF(AND(ISNUMBER(O1819),ISNUMBER(P1819),O1819&gt;0),ROUND((O1819-P1819)/O1819*100,1),"")</f>
        <v/>
      </c>
    </row>
    <row r="1820">
      <c r="Q1820">
        <f>IF(AND(ISNUMBER(O1820),ISNUMBER(P1820),O1820&gt;0),ROUND((O1820-P1820)/O1820*100,1),"")</f>
        <v/>
      </c>
    </row>
    <row r="1821">
      <c r="Q1821">
        <f>IF(AND(ISNUMBER(O1821),ISNUMBER(P1821),O1821&gt;0),ROUND((O1821-P1821)/O1821*100,1),"")</f>
        <v/>
      </c>
    </row>
    <row r="1822">
      <c r="Q1822">
        <f>IF(AND(ISNUMBER(O1822),ISNUMBER(P1822),O1822&gt;0),ROUND((O1822-P1822)/O1822*100,1),"")</f>
        <v/>
      </c>
    </row>
    <row r="1823">
      <c r="Q1823">
        <f>IF(AND(ISNUMBER(O1823),ISNUMBER(P1823),O1823&gt;0),ROUND((O1823-P1823)/O1823*100,1),"")</f>
        <v/>
      </c>
    </row>
    <row r="1824">
      <c r="Q1824">
        <f>IF(AND(ISNUMBER(O1824),ISNUMBER(P1824),O1824&gt;0),ROUND((O1824-P1824)/O1824*100,1),"")</f>
        <v/>
      </c>
    </row>
    <row r="1825">
      <c r="Q1825">
        <f>IF(AND(ISNUMBER(O1825),ISNUMBER(P1825),O1825&gt;0),ROUND((O1825-P1825)/O1825*100,1),"")</f>
        <v/>
      </c>
    </row>
    <row r="1826">
      <c r="Q1826">
        <f>IF(AND(ISNUMBER(O1826),ISNUMBER(P1826),O1826&gt;0),ROUND((O1826-P1826)/O1826*100,1),"")</f>
        <v/>
      </c>
    </row>
    <row r="1827">
      <c r="Q1827">
        <f>IF(AND(ISNUMBER(O1827),ISNUMBER(P1827),O1827&gt;0),ROUND((O1827-P1827)/O1827*100,1),"")</f>
        <v/>
      </c>
    </row>
    <row r="1828">
      <c r="Q1828">
        <f>IF(AND(ISNUMBER(O1828),ISNUMBER(P1828),O1828&gt;0),ROUND((O1828-P1828)/O1828*100,1),"")</f>
        <v/>
      </c>
    </row>
    <row r="1829">
      <c r="Q1829">
        <f>IF(AND(ISNUMBER(O1829),ISNUMBER(P1829),O1829&gt;0),ROUND((O1829-P1829)/O1829*100,1),"")</f>
        <v/>
      </c>
    </row>
    <row r="1830">
      <c r="Q1830">
        <f>IF(AND(ISNUMBER(O1830),ISNUMBER(P1830),O1830&gt;0),ROUND((O1830-P1830)/O1830*100,1),"")</f>
        <v/>
      </c>
    </row>
    <row r="1831">
      <c r="Q1831">
        <f>IF(AND(ISNUMBER(O1831),ISNUMBER(P1831),O1831&gt;0),ROUND((O1831-P1831)/O1831*100,1),"")</f>
        <v/>
      </c>
    </row>
    <row r="1832">
      <c r="Q1832">
        <f>IF(AND(ISNUMBER(O1832),ISNUMBER(P1832),O1832&gt;0),ROUND((O1832-P1832)/O1832*100,1),"")</f>
        <v/>
      </c>
    </row>
    <row r="1833">
      <c r="Q1833">
        <f>IF(AND(ISNUMBER(O1833),ISNUMBER(P1833),O1833&gt;0),ROUND((O1833-P1833)/O1833*100,1),"")</f>
        <v/>
      </c>
    </row>
    <row r="1834">
      <c r="Q1834">
        <f>IF(AND(ISNUMBER(O1834),ISNUMBER(P1834),O1834&gt;0),ROUND((O1834-P1834)/O1834*100,1),"")</f>
        <v/>
      </c>
    </row>
    <row r="1835">
      <c r="Q1835">
        <f>IF(AND(ISNUMBER(O1835),ISNUMBER(P1835),O1835&gt;0),ROUND((O1835-P1835)/O1835*100,1),"")</f>
        <v/>
      </c>
    </row>
    <row r="1836">
      <c r="Q1836">
        <f>IF(AND(ISNUMBER(O1836),ISNUMBER(P1836),O1836&gt;0),ROUND((O1836-P1836)/O1836*100,1),"")</f>
        <v/>
      </c>
    </row>
    <row r="1837">
      <c r="Q1837">
        <f>IF(AND(ISNUMBER(O1837),ISNUMBER(P1837),O1837&gt;0),ROUND((O1837-P1837)/O1837*100,1),"")</f>
        <v/>
      </c>
    </row>
    <row r="1838">
      <c r="Q1838">
        <f>IF(AND(ISNUMBER(O1838),ISNUMBER(P1838),O1838&gt;0),ROUND((O1838-P1838)/O1838*100,1),"")</f>
        <v/>
      </c>
    </row>
    <row r="1839">
      <c r="Q1839">
        <f>IF(AND(ISNUMBER(O1839),ISNUMBER(P1839),O1839&gt;0),ROUND((O1839-P1839)/O1839*100,1),"")</f>
        <v/>
      </c>
    </row>
    <row r="1840">
      <c r="Q1840">
        <f>IF(AND(ISNUMBER(O1840),ISNUMBER(P1840),O1840&gt;0),ROUND((O1840-P1840)/O1840*100,1),"")</f>
        <v/>
      </c>
    </row>
    <row r="1841">
      <c r="Q1841">
        <f>IF(AND(ISNUMBER(O1841),ISNUMBER(P1841),O1841&gt;0),ROUND((O1841-P1841)/O1841*100,1),"")</f>
        <v/>
      </c>
    </row>
    <row r="1842">
      <c r="Q1842">
        <f>IF(AND(ISNUMBER(O1842),ISNUMBER(P1842),O1842&gt;0),ROUND((O1842-P1842)/O1842*100,1),"")</f>
        <v/>
      </c>
    </row>
    <row r="1843">
      <c r="Q1843">
        <f>IF(AND(ISNUMBER(O1843),ISNUMBER(P1843),O1843&gt;0),ROUND((O1843-P1843)/O1843*100,1),"")</f>
        <v/>
      </c>
    </row>
    <row r="1844">
      <c r="Q1844">
        <f>IF(AND(ISNUMBER(O1844),ISNUMBER(P1844),O1844&gt;0),ROUND((O1844-P1844)/O1844*100,1),"")</f>
        <v/>
      </c>
    </row>
    <row r="1845">
      <c r="Q1845">
        <f>IF(AND(ISNUMBER(O1845),ISNUMBER(P1845),O1845&gt;0),ROUND((O1845-P1845)/O1845*100,1),"")</f>
        <v/>
      </c>
    </row>
    <row r="1846">
      <c r="Q1846">
        <f>IF(AND(ISNUMBER(O1846),ISNUMBER(P1846),O1846&gt;0),ROUND((O1846-P1846)/O1846*100,1),"")</f>
        <v/>
      </c>
    </row>
    <row r="1847">
      <c r="Q1847">
        <f>IF(AND(ISNUMBER(O1847),ISNUMBER(P1847),O1847&gt;0),ROUND((O1847-P1847)/O1847*100,1),"")</f>
        <v/>
      </c>
    </row>
    <row r="1848">
      <c r="Q1848">
        <f>IF(AND(ISNUMBER(O1848),ISNUMBER(P1848),O1848&gt;0),ROUND((O1848-P1848)/O1848*100,1),"")</f>
        <v/>
      </c>
    </row>
    <row r="1849">
      <c r="Q1849">
        <f>IF(AND(ISNUMBER(O1849),ISNUMBER(P1849),O1849&gt;0),ROUND((O1849-P1849)/O1849*100,1),"")</f>
        <v/>
      </c>
    </row>
    <row r="1850">
      <c r="Q1850">
        <f>IF(AND(ISNUMBER(O1850),ISNUMBER(P1850),O1850&gt;0),ROUND((O1850-P1850)/O1850*100,1),"")</f>
        <v/>
      </c>
    </row>
    <row r="1851">
      <c r="Q1851">
        <f>IF(AND(ISNUMBER(O1851),ISNUMBER(P1851),O1851&gt;0),ROUND((O1851-P1851)/O1851*100,1),"")</f>
        <v/>
      </c>
    </row>
    <row r="1852">
      <c r="Q1852">
        <f>IF(AND(ISNUMBER(O1852),ISNUMBER(P1852),O1852&gt;0),ROUND((O1852-P1852)/O1852*100,1),"")</f>
        <v/>
      </c>
    </row>
    <row r="1853">
      <c r="Q1853">
        <f>IF(AND(ISNUMBER(O1853),ISNUMBER(P1853),O1853&gt;0),ROUND((O1853-P1853)/O1853*100,1),"")</f>
        <v/>
      </c>
    </row>
    <row r="1854">
      <c r="Q1854">
        <f>IF(AND(ISNUMBER(O1854),ISNUMBER(P1854),O1854&gt;0),ROUND((O1854-P1854)/O1854*100,1),"")</f>
        <v/>
      </c>
    </row>
    <row r="1855">
      <c r="Q1855">
        <f>IF(AND(ISNUMBER(O1855),ISNUMBER(P1855),O1855&gt;0),ROUND((O1855-P1855)/O1855*100,1),"")</f>
        <v/>
      </c>
    </row>
    <row r="1856">
      <c r="Q1856">
        <f>IF(AND(ISNUMBER(O1856),ISNUMBER(P1856),O1856&gt;0),ROUND((O1856-P1856)/O1856*100,1),"")</f>
        <v/>
      </c>
    </row>
    <row r="1857">
      <c r="Q1857">
        <f>IF(AND(ISNUMBER(O1857),ISNUMBER(P1857),O1857&gt;0),ROUND((O1857-P1857)/O1857*100,1),"")</f>
        <v/>
      </c>
    </row>
    <row r="1858">
      <c r="Q1858">
        <f>IF(AND(ISNUMBER(O1858),ISNUMBER(P1858),O1858&gt;0),ROUND((O1858-P1858)/O1858*100,1),"")</f>
        <v/>
      </c>
    </row>
    <row r="1859">
      <c r="Q1859">
        <f>IF(AND(ISNUMBER(O1859),ISNUMBER(P1859),O1859&gt;0),ROUND((O1859-P1859)/O1859*100,1),"")</f>
        <v/>
      </c>
    </row>
    <row r="1860">
      <c r="Q1860">
        <f>IF(AND(ISNUMBER(O1860),ISNUMBER(P1860),O1860&gt;0),ROUND((O1860-P1860)/O1860*100,1),"")</f>
        <v/>
      </c>
    </row>
    <row r="1861">
      <c r="Q1861">
        <f>IF(AND(ISNUMBER(O1861),ISNUMBER(P1861),O1861&gt;0),ROUND((O1861-P1861)/O1861*100,1),"")</f>
        <v/>
      </c>
    </row>
    <row r="1862">
      <c r="Q1862">
        <f>IF(AND(ISNUMBER(O1862),ISNUMBER(P1862),O1862&gt;0),ROUND((O1862-P1862)/O1862*100,1),"")</f>
        <v/>
      </c>
    </row>
    <row r="1863">
      <c r="Q1863">
        <f>IF(AND(ISNUMBER(O1863),ISNUMBER(P1863),O1863&gt;0),ROUND((O1863-P1863)/O1863*100,1),"")</f>
        <v/>
      </c>
    </row>
    <row r="1864">
      <c r="Q1864">
        <f>IF(AND(ISNUMBER(O1864),ISNUMBER(P1864),O1864&gt;0),ROUND((O1864-P1864)/O1864*100,1),"")</f>
        <v/>
      </c>
    </row>
    <row r="1865">
      <c r="Q1865">
        <f>IF(AND(ISNUMBER(O1865),ISNUMBER(P1865),O1865&gt;0),ROUND((O1865-P1865)/O1865*100,1),"")</f>
        <v/>
      </c>
    </row>
    <row r="1866">
      <c r="Q1866">
        <f>IF(AND(ISNUMBER(O1866),ISNUMBER(P1866),O1866&gt;0),ROUND((O1866-P1866)/O1866*100,1),"")</f>
        <v/>
      </c>
    </row>
    <row r="1867">
      <c r="Q1867">
        <f>IF(AND(ISNUMBER(O1867),ISNUMBER(P1867),O1867&gt;0),ROUND((O1867-P1867)/O1867*100,1),"")</f>
        <v/>
      </c>
    </row>
    <row r="1868">
      <c r="Q1868">
        <f>IF(AND(ISNUMBER(O1868),ISNUMBER(P1868),O1868&gt;0),ROUND((O1868-P1868)/O1868*100,1),"")</f>
        <v/>
      </c>
    </row>
    <row r="1869">
      <c r="Q1869">
        <f>IF(AND(ISNUMBER(O1869),ISNUMBER(P1869),O1869&gt;0),ROUND((O1869-P1869)/O1869*100,1),"")</f>
        <v/>
      </c>
    </row>
    <row r="1870">
      <c r="Q1870">
        <f>IF(AND(ISNUMBER(O1870),ISNUMBER(P1870),O1870&gt;0),ROUND((O1870-P1870)/O1870*100,1),"")</f>
        <v/>
      </c>
    </row>
    <row r="1871">
      <c r="Q1871">
        <f>IF(AND(ISNUMBER(O1871),ISNUMBER(P1871),O1871&gt;0),ROUND((O1871-P1871)/O1871*100,1),"")</f>
        <v/>
      </c>
    </row>
    <row r="1872">
      <c r="Q1872">
        <f>IF(AND(ISNUMBER(O1872),ISNUMBER(P1872),O1872&gt;0),ROUND((O1872-P1872)/O1872*100,1),"")</f>
        <v/>
      </c>
    </row>
    <row r="1873">
      <c r="Q1873">
        <f>IF(AND(ISNUMBER(O1873),ISNUMBER(P1873),O1873&gt;0),ROUND((O1873-P1873)/O1873*100,1),"")</f>
        <v/>
      </c>
    </row>
    <row r="1874">
      <c r="Q1874">
        <f>IF(AND(ISNUMBER(O1874),ISNUMBER(P1874),O1874&gt;0),ROUND((O1874-P1874)/O1874*100,1),"")</f>
        <v/>
      </c>
    </row>
    <row r="1875">
      <c r="Q1875">
        <f>IF(AND(ISNUMBER(O1875),ISNUMBER(P1875),O1875&gt;0),ROUND((O1875-P1875)/O1875*100,1),"")</f>
        <v/>
      </c>
    </row>
    <row r="1876">
      <c r="Q1876">
        <f>IF(AND(ISNUMBER(O1876),ISNUMBER(P1876),O1876&gt;0),ROUND((O1876-P1876)/O1876*100,1),"")</f>
        <v/>
      </c>
    </row>
    <row r="1877">
      <c r="Q1877">
        <f>IF(AND(ISNUMBER(O1877),ISNUMBER(P1877),O1877&gt;0),ROUND((O1877-P1877)/O1877*100,1),"")</f>
        <v/>
      </c>
    </row>
    <row r="1878">
      <c r="Q1878">
        <f>IF(AND(ISNUMBER(O1878),ISNUMBER(P1878),O1878&gt;0),ROUND((O1878-P1878)/O1878*100,1),"")</f>
        <v/>
      </c>
    </row>
    <row r="1879">
      <c r="Q1879">
        <f>IF(AND(ISNUMBER(O1879),ISNUMBER(P1879),O1879&gt;0),ROUND((O1879-P1879)/O1879*100,1),"")</f>
        <v/>
      </c>
    </row>
    <row r="1880">
      <c r="Q1880">
        <f>IF(AND(ISNUMBER(O1880),ISNUMBER(P1880),O1880&gt;0),ROUND((O1880-P1880)/O1880*100,1),"")</f>
        <v/>
      </c>
    </row>
    <row r="1881">
      <c r="Q1881">
        <f>IF(AND(ISNUMBER(O1881),ISNUMBER(P1881),O1881&gt;0),ROUND((O1881-P1881)/O1881*100,1),"")</f>
        <v/>
      </c>
    </row>
    <row r="1882">
      <c r="Q1882">
        <f>IF(AND(ISNUMBER(O1882),ISNUMBER(P1882),O1882&gt;0),ROUND((O1882-P1882)/O1882*100,1),"")</f>
        <v/>
      </c>
    </row>
    <row r="1883">
      <c r="Q1883">
        <f>IF(AND(ISNUMBER(O1883),ISNUMBER(P1883),O1883&gt;0),ROUND((O1883-P1883)/O1883*100,1),"")</f>
        <v/>
      </c>
    </row>
    <row r="1884">
      <c r="Q1884">
        <f>IF(AND(ISNUMBER(O1884),ISNUMBER(P1884),O1884&gt;0),ROUND((O1884-P1884)/O1884*100,1),"")</f>
        <v/>
      </c>
    </row>
    <row r="1885">
      <c r="Q1885">
        <f>IF(AND(ISNUMBER(O1885),ISNUMBER(P1885),O1885&gt;0),ROUND((O1885-P1885)/O1885*100,1),"")</f>
        <v/>
      </c>
    </row>
    <row r="1886">
      <c r="Q1886">
        <f>IF(AND(ISNUMBER(O1886),ISNUMBER(P1886),O1886&gt;0),ROUND((O1886-P1886)/O1886*100,1),"")</f>
        <v/>
      </c>
    </row>
    <row r="1887">
      <c r="Q1887">
        <f>IF(AND(ISNUMBER(O1887),ISNUMBER(P1887),O1887&gt;0),ROUND((O1887-P1887)/O1887*100,1),"")</f>
        <v/>
      </c>
    </row>
    <row r="1888">
      <c r="Q1888">
        <f>IF(AND(ISNUMBER(O1888),ISNUMBER(P1888),O1888&gt;0),ROUND((O1888-P1888)/O1888*100,1),"")</f>
        <v/>
      </c>
    </row>
    <row r="1889">
      <c r="Q1889">
        <f>IF(AND(ISNUMBER(O1889),ISNUMBER(P1889),O1889&gt;0),ROUND((O1889-P1889)/O1889*100,1),"")</f>
        <v/>
      </c>
    </row>
    <row r="1890">
      <c r="Q1890">
        <f>IF(AND(ISNUMBER(O1890),ISNUMBER(P1890),O1890&gt;0),ROUND((O1890-P1890)/O1890*100,1),"")</f>
        <v/>
      </c>
    </row>
    <row r="1891">
      <c r="Q1891">
        <f>IF(AND(ISNUMBER(O1891),ISNUMBER(P1891),O1891&gt;0),ROUND((O1891-P1891)/O1891*100,1),"")</f>
        <v/>
      </c>
    </row>
    <row r="1892">
      <c r="Q1892">
        <f>IF(AND(ISNUMBER(O1892),ISNUMBER(P1892),O1892&gt;0),ROUND((O1892-P1892)/O1892*100,1),"")</f>
        <v/>
      </c>
    </row>
    <row r="1893">
      <c r="Q1893">
        <f>IF(AND(ISNUMBER(O1893),ISNUMBER(P1893),O1893&gt;0),ROUND((O1893-P1893)/O1893*100,1),"")</f>
        <v/>
      </c>
    </row>
    <row r="1894">
      <c r="Q1894">
        <f>IF(AND(ISNUMBER(O1894),ISNUMBER(P1894),O1894&gt;0),ROUND((O1894-P1894)/O1894*100,1),"")</f>
        <v/>
      </c>
    </row>
    <row r="1895">
      <c r="Q1895">
        <f>IF(AND(ISNUMBER(O1895),ISNUMBER(P1895),O1895&gt;0),ROUND((O1895-P1895)/O1895*100,1),"")</f>
        <v/>
      </c>
    </row>
    <row r="1896">
      <c r="Q1896">
        <f>IF(AND(ISNUMBER(O1896),ISNUMBER(P1896),O1896&gt;0),ROUND((O1896-P1896)/O1896*100,1),"")</f>
        <v/>
      </c>
    </row>
    <row r="1897">
      <c r="Q1897">
        <f>IF(AND(ISNUMBER(O1897),ISNUMBER(P1897),O1897&gt;0),ROUND((O1897-P1897)/O1897*100,1),"")</f>
        <v/>
      </c>
    </row>
    <row r="1898">
      <c r="Q1898">
        <f>IF(AND(ISNUMBER(O1898),ISNUMBER(P1898),O1898&gt;0),ROUND((O1898-P1898)/O1898*100,1),"")</f>
        <v/>
      </c>
    </row>
    <row r="1899">
      <c r="Q1899">
        <f>IF(AND(ISNUMBER(O1899),ISNUMBER(P1899),O1899&gt;0),ROUND((O1899-P1899)/O1899*100,1),"")</f>
        <v/>
      </c>
    </row>
    <row r="1900">
      <c r="Q1900">
        <f>IF(AND(ISNUMBER(O1900),ISNUMBER(P1900),O1900&gt;0),ROUND((O1900-P1900)/O1900*100,1),"")</f>
        <v/>
      </c>
    </row>
    <row r="1901">
      <c r="Q1901">
        <f>IF(AND(ISNUMBER(O1901),ISNUMBER(P1901),O1901&gt;0),ROUND((O1901-P1901)/O1901*100,1),"")</f>
        <v/>
      </c>
    </row>
    <row r="1902">
      <c r="Q1902">
        <f>IF(AND(ISNUMBER(O1902),ISNUMBER(P1902),O1902&gt;0),ROUND((O1902-P1902)/O1902*100,1),"")</f>
        <v/>
      </c>
    </row>
    <row r="1903">
      <c r="Q1903">
        <f>IF(AND(ISNUMBER(O1903),ISNUMBER(P1903),O1903&gt;0),ROUND((O1903-P1903)/O1903*100,1),"")</f>
        <v/>
      </c>
    </row>
    <row r="1904">
      <c r="Q1904">
        <f>IF(AND(ISNUMBER(O1904),ISNUMBER(P1904),O1904&gt;0),ROUND((O1904-P1904)/O1904*100,1),"")</f>
        <v/>
      </c>
    </row>
    <row r="1905">
      <c r="Q1905">
        <f>IF(AND(ISNUMBER(O1905),ISNUMBER(P1905),O1905&gt;0),ROUND((O1905-P1905)/O1905*100,1),"")</f>
        <v/>
      </c>
    </row>
    <row r="1906">
      <c r="Q1906">
        <f>IF(AND(ISNUMBER(O1906),ISNUMBER(P1906),O1906&gt;0),ROUND((O1906-P1906)/O1906*100,1),"")</f>
        <v/>
      </c>
    </row>
    <row r="1907">
      <c r="Q1907">
        <f>IF(AND(ISNUMBER(O1907),ISNUMBER(P1907),O1907&gt;0),ROUND((O1907-P1907)/O1907*100,1),"")</f>
        <v/>
      </c>
    </row>
    <row r="1908">
      <c r="Q1908">
        <f>IF(AND(ISNUMBER(O1908),ISNUMBER(P1908),O1908&gt;0),ROUND((O1908-P1908)/O1908*100,1),"")</f>
        <v/>
      </c>
    </row>
    <row r="1909">
      <c r="Q1909">
        <f>IF(AND(ISNUMBER(O1909),ISNUMBER(P1909),O1909&gt;0),ROUND((O1909-P1909)/O1909*100,1),"")</f>
        <v/>
      </c>
    </row>
    <row r="1910">
      <c r="Q1910">
        <f>IF(AND(ISNUMBER(O1910),ISNUMBER(P1910),O1910&gt;0),ROUND((O1910-P1910)/O1910*100,1),"")</f>
        <v/>
      </c>
    </row>
    <row r="1911">
      <c r="Q1911">
        <f>IF(AND(ISNUMBER(O1911),ISNUMBER(P1911),O1911&gt;0),ROUND((O1911-P1911)/O1911*100,1),"")</f>
        <v/>
      </c>
    </row>
    <row r="1912">
      <c r="Q1912">
        <f>IF(AND(ISNUMBER(O1912),ISNUMBER(P1912),O1912&gt;0),ROUND((O1912-P1912)/O1912*100,1),"")</f>
        <v/>
      </c>
    </row>
    <row r="1913">
      <c r="Q1913">
        <f>IF(AND(ISNUMBER(O1913),ISNUMBER(P1913),O1913&gt;0),ROUND((O1913-P1913)/O1913*100,1),"")</f>
        <v/>
      </c>
    </row>
    <row r="1914">
      <c r="Q1914">
        <f>IF(AND(ISNUMBER(O1914),ISNUMBER(P1914),O1914&gt;0),ROUND((O1914-P1914)/O1914*100,1),"")</f>
        <v/>
      </c>
    </row>
    <row r="1915">
      <c r="Q1915">
        <f>IF(AND(ISNUMBER(O1915),ISNUMBER(P1915),O1915&gt;0),ROUND((O1915-P1915)/O1915*100,1),"")</f>
        <v/>
      </c>
    </row>
    <row r="1916">
      <c r="Q1916">
        <f>IF(AND(ISNUMBER(O1916),ISNUMBER(P1916),O1916&gt;0),ROUND((O1916-P1916)/O1916*100,1),"")</f>
        <v/>
      </c>
    </row>
    <row r="1917">
      <c r="Q1917">
        <f>IF(AND(ISNUMBER(O1917),ISNUMBER(P1917),O1917&gt;0),ROUND((O1917-P1917)/O1917*100,1),"")</f>
        <v/>
      </c>
    </row>
    <row r="1918">
      <c r="Q1918">
        <f>IF(AND(ISNUMBER(O1918),ISNUMBER(P1918),O1918&gt;0),ROUND((O1918-P1918)/O1918*100,1),"")</f>
        <v/>
      </c>
    </row>
    <row r="1919">
      <c r="Q1919">
        <f>IF(AND(ISNUMBER(O1919),ISNUMBER(P1919),O1919&gt;0),ROUND((O1919-P1919)/O1919*100,1),"")</f>
        <v/>
      </c>
    </row>
    <row r="1920">
      <c r="Q1920">
        <f>IF(AND(ISNUMBER(O1920),ISNUMBER(P1920),O1920&gt;0),ROUND((O1920-P1920)/O1920*100,1),"")</f>
        <v/>
      </c>
    </row>
    <row r="1921">
      <c r="Q1921">
        <f>IF(AND(ISNUMBER(O1921),ISNUMBER(P1921),O1921&gt;0),ROUND((O1921-P1921)/O1921*100,1),"")</f>
        <v/>
      </c>
    </row>
    <row r="1922">
      <c r="Q1922">
        <f>IF(AND(ISNUMBER(O1922),ISNUMBER(P1922),O1922&gt;0),ROUND((O1922-P1922)/O1922*100,1),"")</f>
        <v/>
      </c>
    </row>
    <row r="1923">
      <c r="Q1923">
        <f>IF(AND(ISNUMBER(O1923),ISNUMBER(P1923),O1923&gt;0),ROUND((O1923-P1923)/O1923*100,1),"")</f>
        <v/>
      </c>
    </row>
    <row r="1924">
      <c r="Q1924">
        <f>IF(AND(ISNUMBER(O1924),ISNUMBER(P1924),O1924&gt;0),ROUND((O1924-P1924)/O1924*100,1),"")</f>
        <v/>
      </c>
    </row>
    <row r="1925">
      <c r="Q1925">
        <f>IF(AND(ISNUMBER(O1925),ISNUMBER(P1925),O1925&gt;0),ROUND((O1925-P1925)/O1925*100,1),"")</f>
        <v/>
      </c>
    </row>
    <row r="1926">
      <c r="Q1926">
        <f>IF(AND(ISNUMBER(O1926),ISNUMBER(P1926),O1926&gt;0),ROUND((O1926-P1926)/O1926*100,1),"")</f>
        <v/>
      </c>
    </row>
    <row r="1927">
      <c r="Q1927">
        <f>IF(AND(ISNUMBER(O1927),ISNUMBER(P1927),O1927&gt;0),ROUND((O1927-P1927)/O1927*100,1),"")</f>
        <v/>
      </c>
    </row>
    <row r="1928">
      <c r="Q1928">
        <f>IF(AND(ISNUMBER(O1928),ISNUMBER(P1928),O1928&gt;0),ROUND((O1928-P1928)/O1928*100,1),"")</f>
        <v/>
      </c>
    </row>
    <row r="1929">
      <c r="Q1929">
        <f>IF(AND(ISNUMBER(O1929),ISNUMBER(P1929),O1929&gt;0),ROUND((O1929-P1929)/O1929*100,1),"")</f>
        <v/>
      </c>
    </row>
    <row r="1930">
      <c r="Q1930">
        <f>IF(AND(ISNUMBER(O1930),ISNUMBER(P1930),O1930&gt;0),ROUND((O1930-P1930)/O1930*100,1),"")</f>
        <v/>
      </c>
    </row>
    <row r="1931">
      <c r="Q1931">
        <f>IF(AND(ISNUMBER(O1931),ISNUMBER(P1931),O1931&gt;0),ROUND((O1931-P1931)/O1931*100,1),"")</f>
        <v/>
      </c>
    </row>
    <row r="1932">
      <c r="Q1932">
        <f>IF(AND(ISNUMBER(O1932),ISNUMBER(P1932),O1932&gt;0),ROUND((O1932-P1932)/O1932*100,1),"")</f>
        <v/>
      </c>
    </row>
    <row r="1933">
      <c r="Q1933">
        <f>IF(AND(ISNUMBER(O1933),ISNUMBER(P1933),O1933&gt;0),ROUND((O1933-P1933)/O1933*100,1),"")</f>
        <v/>
      </c>
    </row>
    <row r="1934">
      <c r="Q1934">
        <f>IF(AND(ISNUMBER(O1934),ISNUMBER(P1934),O1934&gt;0),ROUND((O1934-P1934)/O1934*100,1),"")</f>
        <v/>
      </c>
    </row>
    <row r="1935">
      <c r="Q1935">
        <f>IF(AND(ISNUMBER(O1935),ISNUMBER(P1935),O1935&gt;0),ROUND((O1935-P1935)/O1935*100,1),"")</f>
        <v/>
      </c>
    </row>
    <row r="1936">
      <c r="Q1936">
        <f>IF(AND(ISNUMBER(O1936),ISNUMBER(P1936),O1936&gt;0),ROUND((O1936-P1936)/O1936*100,1),"")</f>
        <v/>
      </c>
    </row>
    <row r="1937">
      <c r="Q1937">
        <f>IF(AND(ISNUMBER(O1937),ISNUMBER(P1937),O1937&gt;0),ROUND((O1937-P1937)/O1937*100,1),"")</f>
        <v/>
      </c>
    </row>
    <row r="1938">
      <c r="Q1938">
        <f>IF(AND(ISNUMBER(O1938),ISNUMBER(P1938),O1938&gt;0),ROUND((O1938-P1938)/O1938*100,1),"")</f>
        <v/>
      </c>
    </row>
    <row r="1939">
      <c r="Q1939">
        <f>IF(AND(ISNUMBER(O1939),ISNUMBER(P1939),O1939&gt;0),ROUND((O1939-P1939)/O1939*100,1),"")</f>
        <v/>
      </c>
    </row>
    <row r="1940">
      <c r="Q1940">
        <f>IF(AND(ISNUMBER(O1940),ISNUMBER(P1940),O1940&gt;0),ROUND((O1940-P1940)/O1940*100,1),"")</f>
        <v/>
      </c>
    </row>
    <row r="1941">
      <c r="Q1941">
        <f>IF(AND(ISNUMBER(O1941),ISNUMBER(P1941),O1941&gt;0),ROUND((O1941-P1941)/O1941*100,1),"")</f>
        <v/>
      </c>
    </row>
    <row r="1942">
      <c r="Q1942">
        <f>IF(AND(ISNUMBER(O1942),ISNUMBER(P1942),O1942&gt;0),ROUND((O1942-P1942)/O1942*100,1),"")</f>
        <v/>
      </c>
    </row>
    <row r="1943">
      <c r="Q1943">
        <f>IF(AND(ISNUMBER(O1943),ISNUMBER(P1943),O1943&gt;0),ROUND((O1943-P1943)/O1943*100,1),"")</f>
        <v/>
      </c>
    </row>
    <row r="1944">
      <c r="Q1944">
        <f>IF(AND(ISNUMBER(O1944),ISNUMBER(P1944),O1944&gt;0),ROUND((O1944-P1944)/O1944*100,1),"")</f>
        <v/>
      </c>
    </row>
    <row r="1945">
      <c r="Q1945">
        <f>IF(AND(ISNUMBER(O1945),ISNUMBER(P1945),O1945&gt;0),ROUND((O1945-P1945)/O1945*100,1),"")</f>
        <v/>
      </c>
    </row>
    <row r="1946">
      <c r="Q1946">
        <f>IF(AND(ISNUMBER(O1946),ISNUMBER(P1946),O1946&gt;0),ROUND((O1946-P1946)/O1946*100,1),"")</f>
        <v/>
      </c>
    </row>
    <row r="1947">
      <c r="Q1947">
        <f>IF(AND(ISNUMBER(O1947),ISNUMBER(P1947),O1947&gt;0),ROUND((O1947-P1947)/O1947*100,1),"")</f>
        <v/>
      </c>
    </row>
    <row r="1948">
      <c r="Q1948">
        <f>IF(AND(ISNUMBER(O1948),ISNUMBER(P1948),O1948&gt;0),ROUND((O1948-P1948)/O1948*100,1),"")</f>
        <v/>
      </c>
    </row>
    <row r="1949">
      <c r="Q1949">
        <f>IF(AND(ISNUMBER(O1949),ISNUMBER(P1949),O1949&gt;0),ROUND((O1949-P1949)/O1949*100,1),"")</f>
        <v/>
      </c>
    </row>
    <row r="1950">
      <c r="Q1950">
        <f>IF(AND(ISNUMBER(O1950),ISNUMBER(P1950),O1950&gt;0),ROUND((O1950-P1950)/O1950*100,1),"")</f>
        <v/>
      </c>
    </row>
    <row r="1951">
      <c r="Q1951">
        <f>IF(AND(ISNUMBER(O1951),ISNUMBER(P1951),O1951&gt;0),ROUND((O1951-P1951)/O1951*100,1),"")</f>
        <v/>
      </c>
    </row>
    <row r="1952">
      <c r="Q1952">
        <f>IF(AND(ISNUMBER(O1952),ISNUMBER(P1952),O1952&gt;0),ROUND((O1952-P1952)/O1952*100,1),"")</f>
        <v/>
      </c>
    </row>
    <row r="1953">
      <c r="Q1953">
        <f>IF(AND(ISNUMBER(O1953),ISNUMBER(P1953),O1953&gt;0),ROUND((O1953-P1953)/O1953*100,1),"")</f>
        <v/>
      </c>
    </row>
    <row r="1954">
      <c r="Q1954">
        <f>IF(AND(ISNUMBER(O1954),ISNUMBER(P1954),O1954&gt;0),ROUND((O1954-P1954)/O1954*100,1),"")</f>
        <v/>
      </c>
    </row>
    <row r="1955">
      <c r="Q1955">
        <f>IF(AND(ISNUMBER(O1955),ISNUMBER(P1955),O1955&gt;0),ROUND((O1955-P1955)/O1955*100,1),"")</f>
        <v/>
      </c>
    </row>
    <row r="1956">
      <c r="Q1956">
        <f>IF(AND(ISNUMBER(O1956),ISNUMBER(P1956),O1956&gt;0),ROUND((O1956-P1956)/O1956*100,1),"")</f>
        <v/>
      </c>
    </row>
    <row r="1957">
      <c r="Q1957">
        <f>IF(AND(ISNUMBER(O1957),ISNUMBER(P1957),O1957&gt;0),ROUND((O1957-P1957)/O1957*100,1),"")</f>
        <v/>
      </c>
    </row>
    <row r="1958">
      <c r="Q1958">
        <f>IF(AND(ISNUMBER(O1958),ISNUMBER(P1958),O1958&gt;0),ROUND((O1958-P1958)/O1958*100,1),"")</f>
        <v/>
      </c>
    </row>
    <row r="1959">
      <c r="Q1959">
        <f>IF(AND(ISNUMBER(O1959),ISNUMBER(P1959),O1959&gt;0),ROUND((O1959-P1959)/O1959*100,1),"")</f>
        <v/>
      </c>
    </row>
    <row r="1960">
      <c r="Q1960">
        <f>IF(AND(ISNUMBER(O1960),ISNUMBER(P1960),O1960&gt;0),ROUND((O1960-P1960)/O1960*100,1),"")</f>
        <v/>
      </c>
    </row>
    <row r="1961">
      <c r="Q1961">
        <f>IF(AND(ISNUMBER(O1961),ISNUMBER(P1961),O1961&gt;0),ROUND((O1961-P1961)/O1961*100,1),"")</f>
        <v/>
      </c>
    </row>
    <row r="1962">
      <c r="Q1962">
        <f>IF(AND(ISNUMBER(O1962),ISNUMBER(P1962),O1962&gt;0),ROUND((O1962-P1962)/O1962*100,1),"")</f>
        <v/>
      </c>
    </row>
    <row r="1963">
      <c r="Q1963">
        <f>IF(AND(ISNUMBER(O1963),ISNUMBER(P1963),O1963&gt;0),ROUND((O1963-P1963)/O1963*100,1),"")</f>
        <v/>
      </c>
    </row>
    <row r="1964">
      <c r="Q1964">
        <f>IF(AND(ISNUMBER(O1964),ISNUMBER(P1964),O1964&gt;0),ROUND((O1964-P1964)/O1964*100,1),"")</f>
        <v/>
      </c>
    </row>
    <row r="1965">
      <c r="Q1965">
        <f>IF(AND(ISNUMBER(O1965),ISNUMBER(P1965),O1965&gt;0),ROUND((O1965-P1965)/O1965*100,1),"")</f>
        <v/>
      </c>
    </row>
    <row r="1966">
      <c r="Q1966">
        <f>IF(AND(ISNUMBER(O1966),ISNUMBER(P1966),O1966&gt;0),ROUND((O1966-P1966)/O1966*100,1),"")</f>
        <v/>
      </c>
    </row>
    <row r="1967">
      <c r="Q1967">
        <f>IF(AND(ISNUMBER(O1967),ISNUMBER(P1967),O1967&gt;0),ROUND((O1967-P1967)/O1967*100,1),"")</f>
        <v/>
      </c>
    </row>
    <row r="1968">
      <c r="Q1968">
        <f>IF(AND(ISNUMBER(O1968),ISNUMBER(P1968),O1968&gt;0),ROUND((O1968-P1968)/O1968*100,1),"")</f>
        <v/>
      </c>
    </row>
    <row r="1969">
      <c r="Q1969">
        <f>IF(AND(ISNUMBER(O1969),ISNUMBER(P1969),O1969&gt;0),ROUND((O1969-P1969)/O1969*100,1),"")</f>
        <v/>
      </c>
    </row>
    <row r="1970">
      <c r="Q1970">
        <f>IF(AND(ISNUMBER(O1970),ISNUMBER(P1970),O1970&gt;0),ROUND((O1970-P1970)/O1970*100,1),"")</f>
        <v/>
      </c>
    </row>
    <row r="1971">
      <c r="Q1971">
        <f>IF(AND(ISNUMBER(O1971),ISNUMBER(P1971),O1971&gt;0),ROUND((O1971-P1971)/O1971*100,1),"")</f>
        <v/>
      </c>
    </row>
    <row r="1972">
      <c r="Q1972">
        <f>IF(AND(ISNUMBER(O1972),ISNUMBER(P1972),O1972&gt;0),ROUND((O1972-P1972)/O1972*100,1),"")</f>
        <v/>
      </c>
    </row>
    <row r="1973">
      <c r="Q1973">
        <f>IF(AND(ISNUMBER(O1973),ISNUMBER(P1973),O1973&gt;0),ROUND((O1973-P1973)/O1973*100,1),"")</f>
        <v/>
      </c>
    </row>
    <row r="1974">
      <c r="Q1974">
        <f>IF(AND(ISNUMBER(O1974),ISNUMBER(P1974),O1974&gt;0),ROUND((O1974-P1974)/O1974*100,1),"")</f>
        <v/>
      </c>
    </row>
    <row r="1975">
      <c r="Q1975">
        <f>IF(AND(ISNUMBER(O1975),ISNUMBER(P1975),O1975&gt;0),ROUND((O1975-P1975)/O1975*100,1),"")</f>
        <v/>
      </c>
    </row>
    <row r="1976">
      <c r="Q1976">
        <f>IF(AND(ISNUMBER(O1976),ISNUMBER(P1976),O1976&gt;0),ROUND((O1976-P1976)/O1976*100,1),"")</f>
        <v/>
      </c>
    </row>
    <row r="1977">
      <c r="Q1977">
        <f>IF(AND(ISNUMBER(O1977),ISNUMBER(P1977),O1977&gt;0),ROUND((O1977-P1977)/O1977*100,1),"")</f>
        <v/>
      </c>
    </row>
    <row r="1978">
      <c r="Q1978">
        <f>IF(AND(ISNUMBER(O1978),ISNUMBER(P1978),O1978&gt;0),ROUND((O1978-P1978)/O1978*100,1),"")</f>
        <v/>
      </c>
    </row>
    <row r="1979">
      <c r="Q1979">
        <f>IF(AND(ISNUMBER(O1979),ISNUMBER(P1979),O1979&gt;0),ROUND((O1979-P1979)/O1979*100,1),"")</f>
        <v/>
      </c>
    </row>
    <row r="1980">
      <c r="Q1980">
        <f>IF(AND(ISNUMBER(O1980),ISNUMBER(P1980),O1980&gt;0),ROUND((O1980-P1980)/O1980*100,1),"")</f>
        <v/>
      </c>
    </row>
    <row r="1981">
      <c r="Q1981">
        <f>IF(AND(ISNUMBER(O1981),ISNUMBER(P1981),O1981&gt;0),ROUND((O1981-P1981)/O1981*100,1),"")</f>
        <v/>
      </c>
    </row>
    <row r="1982">
      <c r="Q1982">
        <f>IF(AND(ISNUMBER(O1982),ISNUMBER(P1982),O1982&gt;0),ROUND((O1982-P1982)/O1982*100,1),"")</f>
        <v/>
      </c>
    </row>
    <row r="1983">
      <c r="Q1983">
        <f>IF(AND(ISNUMBER(O1983),ISNUMBER(P1983),O1983&gt;0),ROUND((O1983-P1983)/O1983*100,1),"")</f>
        <v/>
      </c>
    </row>
    <row r="1984">
      <c r="Q1984">
        <f>IF(AND(ISNUMBER(O1984),ISNUMBER(P1984),O1984&gt;0),ROUND((O1984-P1984)/O1984*100,1),"")</f>
        <v/>
      </c>
    </row>
    <row r="1985">
      <c r="Q1985">
        <f>IF(AND(ISNUMBER(O1985),ISNUMBER(P1985),O1985&gt;0),ROUND((O1985-P1985)/O1985*100,1),"")</f>
        <v/>
      </c>
    </row>
    <row r="1986">
      <c r="Q1986">
        <f>IF(AND(ISNUMBER(O1986),ISNUMBER(P1986),O1986&gt;0),ROUND((O1986-P1986)/O1986*100,1),"")</f>
        <v/>
      </c>
    </row>
    <row r="1987">
      <c r="Q1987">
        <f>IF(AND(ISNUMBER(O1987),ISNUMBER(P1987),O1987&gt;0),ROUND((O1987-P1987)/O1987*100,1),"")</f>
        <v/>
      </c>
    </row>
    <row r="1988">
      <c r="Q1988">
        <f>IF(AND(ISNUMBER(O1988),ISNUMBER(P1988),O1988&gt;0),ROUND((O1988-P1988)/O1988*100,1),"")</f>
        <v/>
      </c>
    </row>
    <row r="1989">
      <c r="Q1989">
        <f>IF(AND(ISNUMBER(O1989),ISNUMBER(P1989),O1989&gt;0),ROUND((O1989-P1989)/O1989*100,1),"")</f>
        <v/>
      </c>
    </row>
    <row r="1990">
      <c r="Q1990">
        <f>IF(AND(ISNUMBER(O1990),ISNUMBER(P1990),O1990&gt;0),ROUND((O1990-P1990)/O1990*100,1),"")</f>
        <v/>
      </c>
    </row>
    <row r="1991">
      <c r="Q1991">
        <f>IF(AND(ISNUMBER(O1991),ISNUMBER(P1991),O1991&gt;0),ROUND((O1991-P1991)/O1991*100,1),"")</f>
        <v/>
      </c>
    </row>
    <row r="1992">
      <c r="Q1992">
        <f>IF(AND(ISNUMBER(O1992),ISNUMBER(P1992),O1992&gt;0),ROUND((O1992-P1992)/O1992*100,1),"")</f>
        <v/>
      </c>
    </row>
    <row r="1993">
      <c r="Q1993">
        <f>IF(AND(ISNUMBER(O1993),ISNUMBER(P1993),O1993&gt;0),ROUND((O1993-P1993)/O1993*100,1),"")</f>
        <v/>
      </c>
    </row>
    <row r="1994">
      <c r="Q1994">
        <f>IF(AND(ISNUMBER(O1994),ISNUMBER(P1994),O1994&gt;0),ROUND((O1994-P1994)/O1994*100,1),"")</f>
        <v/>
      </c>
    </row>
    <row r="1995">
      <c r="Q1995">
        <f>IF(AND(ISNUMBER(O1995),ISNUMBER(P1995),O1995&gt;0),ROUND((O1995-P1995)/O1995*100,1),"")</f>
        <v/>
      </c>
    </row>
    <row r="1996">
      <c r="Q1996">
        <f>IF(AND(ISNUMBER(O1996),ISNUMBER(P1996),O1996&gt;0),ROUND((O1996-P1996)/O1996*100,1),"")</f>
        <v/>
      </c>
    </row>
    <row r="1997">
      <c r="Q1997">
        <f>IF(AND(ISNUMBER(O1997),ISNUMBER(P1997),O1997&gt;0),ROUND((O1997-P1997)/O1997*100,1),"")</f>
        <v/>
      </c>
    </row>
    <row r="1998">
      <c r="Q1998">
        <f>IF(AND(ISNUMBER(O1998),ISNUMBER(P1998),O1998&gt;0),ROUND((O1998-P1998)/O1998*100,1),"")</f>
        <v/>
      </c>
    </row>
    <row r="1999">
      <c r="Q1999">
        <f>IF(AND(ISNUMBER(O1999),ISNUMBER(P1999),O1999&gt;0),ROUND((O1999-P1999)/O1999*100,1),"")</f>
        <v/>
      </c>
    </row>
    <row r="2000">
      <c r="Q2000">
        <f>IF(AND(ISNUMBER(O2000),ISNUMBER(P2000),O2000&gt;0),ROUND((O2000-P2000)/O2000*100,1),"")</f>
        <v/>
      </c>
    </row>
  </sheetData>
  <dataValidations count="3">
    <dataValidation sqref="R5:R2000" showDropDown="0" showInputMessage="0" showErrorMessage="0" allowBlank="1" type="list">
      <formula1>"in_stock,out_of_stock,unknown"</formula1>
    </dataValidation>
    <dataValidation sqref="S5:S2000" showDropDown="0" showInputMessage="0" showErrorMessage="0" allowBlank="1" type="list">
      <formula1>"yes,no,unknown"</formula1>
    </dataValidation>
    <dataValidation sqref="M5:M2000" showDropDown="0" showInputMessage="0" showErrorMessage="0" allowBlank="1" type="list">
      <formula1>"yes,no,not_shown"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27" customWidth="1" min="6" max="6"/>
    <col width="14" customWidth="1" min="7" max="7"/>
  </cols>
  <sheetData>
    <row r="1">
      <c r="A1" s="1" t="inlineStr">
        <is>
          <t>SKU Availability</t>
        </is>
      </c>
    </row>
    <row r="2">
      <c r="A2" s="2" t="inlineStr">
        <is>
          <t>Calculated from Master SKU Catalogue (column N must use these category names).</t>
        </is>
      </c>
    </row>
    <row r="4">
      <c r="A4" s="3" t="inlineStr">
        <is>
          <t>Category</t>
        </is>
      </c>
      <c r="B4" s="3" t="inlineStr">
        <is>
          <t>SKUs observed</t>
        </is>
      </c>
      <c r="C4" s="3" t="inlineStr">
        <is>
          <t>In stock</t>
        </is>
      </c>
      <c r="D4" s="3" t="inlineStr">
        <is>
          <t>Out of stock</t>
        </is>
      </c>
      <c r="E4" s="3" t="inlineStr">
        <is>
          <t>Unknown</t>
        </is>
      </c>
      <c r="F4" s="3" t="inlineStr">
        <is>
          <t>Observed availability %</t>
        </is>
      </c>
      <c r="G4" s="3" t="inlineStr">
        <is>
          <t>Note</t>
        </is>
      </c>
    </row>
    <row r="5">
      <c r="A5" s="4" t="inlineStr">
        <is>
          <t>Prescription medicines</t>
        </is>
      </c>
      <c r="B5" s="5">
        <f>COUNTIF('Master SKU Catalogue'!$N$5:$N$5000,A5)</f>
        <v/>
      </c>
      <c r="C5" s="5">
        <f>COUNTIFS('Master SKU Catalogue'!$N$5:$N$5000,A5,'Master SKU Catalogue'!$R$5:$R$5000,"in_stock")</f>
        <v/>
      </c>
      <c r="D5" s="5">
        <f>COUNTIFS('Master SKU Catalogue'!$N$5:$N$5000,A5,'Master SKU Catalogue'!$R$5:$R$5000,"out_of_stock")</f>
        <v/>
      </c>
      <c r="E5" s="5">
        <f>COUNTIFS('Master SKU Catalogue'!$N$5:$N$5000,A5,'Master SKU Catalogue'!$R$5:$R$5000,"unknown")</f>
        <v/>
      </c>
      <c r="F5" s="5">
        <f>IFERROR(ROUND(C5/(C5+D5)*100,1),"n/a")</f>
        <v/>
      </c>
      <c r="G5" s="5" t="inlineStr">
        <is>
          <t>Denominator excludes unknown status</t>
        </is>
      </c>
    </row>
    <row r="6">
      <c r="A6" s="4" t="inlineStr">
        <is>
          <t>OTC medicines</t>
        </is>
      </c>
      <c r="B6" s="5">
        <f>COUNTIF('Master SKU Catalogue'!$N$5:$N$5000,A6)</f>
        <v/>
      </c>
      <c r="C6" s="5">
        <f>COUNTIFS('Master SKU Catalogue'!$N$5:$N$5000,A6,'Master SKU Catalogue'!$R$5:$R$5000,"in_stock")</f>
        <v/>
      </c>
      <c r="D6" s="5">
        <f>COUNTIFS('Master SKU Catalogue'!$N$5:$N$5000,A6,'Master SKU Catalogue'!$R$5:$R$5000,"out_of_stock")</f>
        <v/>
      </c>
      <c r="E6" s="5">
        <f>COUNTIFS('Master SKU Catalogue'!$N$5:$N$5000,A6,'Master SKU Catalogue'!$R$5:$R$5000,"unknown")</f>
        <v/>
      </c>
      <c r="F6" s="5">
        <f>IFERROR(ROUND(C6/(C6+D6)*100,1),"n/a")</f>
        <v/>
      </c>
      <c r="G6" s="5" t="inlineStr">
        <is>
          <t>Denominator excludes unknown status</t>
        </is>
      </c>
    </row>
    <row r="7">
      <c r="A7" s="4" t="inlineStr">
        <is>
          <t>Vitamins &amp; supplements</t>
        </is>
      </c>
      <c r="B7" s="5">
        <f>COUNTIF('Master SKU Catalogue'!$N$5:$N$5000,A7)</f>
        <v/>
      </c>
      <c r="C7" s="5">
        <f>COUNTIFS('Master SKU Catalogue'!$N$5:$N$5000,A7,'Master SKU Catalogue'!$R$5:$R$5000,"in_stock")</f>
        <v/>
      </c>
      <c r="D7" s="5">
        <f>COUNTIFS('Master SKU Catalogue'!$N$5:$N$5000,A7,'Master SKU Catalogue'!$R$5:$R$5000,"out_of_stock")</f>
        <v/>
      </c>
      <c r="E7" s="5">
        <f>COUNTIFS('Master SKU Catalogue'!$N$5:$N$5000,A7,'Master SKU Catalogue'!$R$5:$R$5000,"unknown")</f>
        <v/>
      </c>
      <c r="F7" s="5">
        <f>IFERROR(ROUND(C7/(C7+D7)*100,1),"n/a")</f>
        <v/>
      </c>
      <c r="G7" s="5" t="inlineStr">
        <is>
          <t>Denominator excludes unknown status</t>
        </is>
      </c>
    </row>
    <row r="8">
      <c r="A8" s="4" t="inlineStr">
        <is>
          <t>Personal care</t>
        </is>
      </c>
      <c r="B8" s="5">
        <f>COUNTIF('Master SKU Catalogue'!$N$5:$N$5000,A8)</f>
        <v/>
      </c>
      <c r="C8" s="5">
        <f>COUNTIFS('Master SKU Catalogue'!$N$5:$N$5000,A8,'Master SKU Catalogue'!$R$5:$R$5000,"in_stock")</f>
        <v/>
      </c>
      <c r="D8" s="5">
        <f>COUNTIFS('Master SKU Catalogue'!$N$5:$N$5000,A8,'Master SKU Catalogue'!$R$5:$R$5000,"out_of_stock")</f>
        <v/>
      </c>
      <c r="E8" s="5">
        <f>COUNTIFS('Master SKU Catalogue'!$N$5:$N$5000,A8,'Master SKU Catalogue'!$R$5:$R$5000,"unknown")</f>
        <v/>
      </c>
      <c r="F8" s="5">
        <f>IFERROR(ROUND(C8/(C8+D8)*100,1),"n/a")</f>
        <v/>
      </c>
      <c r="G8" s="5" t="inlineStr">
        <is>
          <t>Denominator excludes unknown status</t>
        </is>
      </c>
    </row>
    <row r="9">
      <c r="A9" s="4" t="inlineStr">
        <is>
          <t>Baby care</t>
        </is>
      </c>
      <c r="B9" s="5">
        <f>COUNTIF('Master SKU Catalogue'!$N$5:$N$5000,A9)</f>
        <v/>
      </c>
      <c r="C9" s="5">
        <f>COUNTIFS('Master SKU Catalogue'!$N$5:$N$5000,A9,'Master SKU Catalogue'!$R$5:$R$5000,"in_stock")</f>
        <v/>
      </c>
      <c r="D9" s="5">
        <f>COUNTIFS('Master SKU Catalogue'!$N$5:$N$5000,A9,'Master SKU Catalogue'!$R$5:$R$5000,"out_of_stock")</f>
        <v/>
      </c>
      <c r="E9" s="5">
        <f>COUNTIFS('Master SKU Catalogue'!$N$5:$N$5000,A9,'Master SKU Catalogue'!$R$5:$R$5000,"unknown")</f>
        <v/>
      </c>
      <c r="F9" s="5">
        <f>IFERROR(ROUND(C9/(C9+D9)*100,1),"n/a")</f>
        <v/>
      </c>
      <c r="G9" s="5" t="inlineStr">
        <is>
          <t>Denominator excludes unknown status</t>
        </is>
      </c>
    </row>
    <row r="10">
      <c r="A10" s="4" t="inlineStr">
        <is>
          <t>Diabetes care</t>
        </is>
      </c>
      <c r="B10" s="5">
        <f>COUNTIF('Master SKU Catalogue'!$N$5:$N$5000,A10)</f>
        <v/>
      </c>
      <c r="C10" s="5">
        <f>COUNTIFS('Master SKU Catalogue'!$N$5:$N$5000,A10,'Master SKU Catalogue'!$R$5:$R$5000,"in_stock")</f>
        <v/>
      </c>
      <c r="D10" s="5">
        <f>COUNTIFS('Master SKU Catalogue'!$N$5:$N$5000,A10,'Master SKU Catalogue'!$R$5:$R$5000,"out_of_stock")</f>
        <v/>
      </c>
      <c r="E10" s="5">
        <f>COUNTIFS('Master SKU Catalogue'!$N$5:$N$5000,A10,'Master SKU Catalogue'!$R$5:$R$5000,"unknown")</f>
        <v/>
      </c>
      <c r="F10" s="5">
        <f>IFERROR(ROUND(C10/(C10+D10)*100,1),"n/a")</f>
        <v/>
      </c>
      <c r="G10" s="5" t="inlineStr">
        <is>
          <t>Denominator excludes unknown status</t>
        </is>
      </c>
    </row>
    <row r="11">
      <c r="A11" s="4" t="inlineStr">
        <is>
          <t>Medical devices</t>
        </is>
      </c>
      <c r="B11" s="5">
        <f>COUNTIF('Master SKU Catalogue'!$N$5:$N$5000,A11)</f>
        <v/>
      </c>
      <c r="C11" s="5">
        <f>COUNTIFS('Master SKU Catalogue'!$N$5:$N$5000,A11,'Master SKU Catalogue'!$R$5:$R$5000,"in_stock")</f>
        <v/>
      </c>
      <c r="D11" s="5">
        <f>COUNTIFS('Master SKU Catalogue'!$N$5:$N$5000,A11,'Master SKU Catalogue'!$R$5:$R$5000,"out_of_stock")</f>
        <v/>
      </c>
      <c r="E11" s="5">
        <f>COUNTIFS('Master SKU Catalogue'!$N$5:$N$5000,A11,'Master SKU Catalogue'!$R$5:$R$5000,"unknown")</f>
        <v/>
      </c>
      <c r="F11" s="5">
        <f>IFERROR(ROUND(C11/(C11+D11)*100,1),"n/a")</f>
        <v/>
      </c>
      <c r="G11" s="5" t="inlineStr">
        <is>
          <t>Denominator excludes unknown status</t>
        </is>
      </c>
    </row>
    <row r="12">
      <c r="A12" s="4" t="inlineStr">
        <is>
          <t>Ayurveda</t>
        </is>
      </c>
      <c r="B12" s="5">
        <f>COUNTIF('Master SKU Catalogue'!$N$5:$N$5000,A12)</f>
        <v/>
      </c>
      <c r="C12" s="5">
        <f>COUNTIFS('Master SKU Catalogue'!$N$5:$N$5000,A12,'Master SKU Catalogue'!$R$5:$R$5000,"in_stock")</f>
        <v/>
      </c>
      <c r="D12" s="5">
        <f>COUNTIFS('Master SKU Catalogue'!$N$5:$N$5000,A12,'Master SKU Catalogue'!$R$5:$R$5000,"out_of_stock")</f>
        <v/>
      </c>
      <c r="E12" s="5">
        <f>COUNTIFS('Master SKU Catalogue'!$N$5:$N$5000,A12,'Master SKU Catalogue'!$R$5:$R$5000,"unknown")</f>
        <v/>
      </c>
      <c r="F12" s="5">
        <f>IFERROR(ROUND(C12/(C12+D12)*100,1),"n/a")</f>
        <v/>
      </c>
      <c r="G12" s="5" t="inlineStr">
        <is>
          <t>Denominator excludes unknown status</t>
        </is>
      </c>
    </row>
    <row r="13">
      <c r="A13" s="4" t="inlineStr">
        <is>
          <t>Other</t>
        </is>
      </c>
      <c r="B13" s="5">
        <f>COUNTIF('Master SKU Catalogue'!$N$5:$N$5000,A13)</f>
        <v/>
      </c>
      <c r="C13" s="5">
        <f>COUNTIFS('Master SKU Catalogue'!$N$5:$N$5000,A13,'Master SKU Catalogue'!$R$5:$R$5000,"in_stock")</f>
        <v/>
      </c>
      <c r="D13" s="5">
        <f>COUNTIFS('Master SKU Catalogue'!$N$5:$N$5000,A13,'Master SKU Catalogue'!$R$5:$R$5000,"out_of_stock")</f>
        <v/>
      </c>
      <c r="E13" s="5">
        <f>COUNTIFS('Master SKU Catalogue'!$N$5:$N$5000,A13,'Master SKU Catalogue'!$R$5:$R$5000,"unknown")</f>
        <v/>
      </c>
      <c r="F13" s="5">
        <f>IFERROR(ROUND(C13/(C13+D13)*100,1),"n/a")</f>
        <v/>
      </c>
      <c r="G13" s="5" t="inlineStr">
        <is>
          <t>Denominator excludes unknown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20" customWidth="1" min="3" max="3"/>
    <col width="29" customWidth="1" min="4" max="4"/>
    <col width="14" customWidth="1" min="5" max="5"/>
    <col width="14" customWidth="1" min="6" max="6"/>
    <col width="16" customWidth="1" min="7" max="7"/>
    <col width="15" customWidth="1" min="8" max="8"/>
    <col width="21" customWidth="1" min="9" max="9"/>
    <col width="17" customWidth="1" min="10" max="10"/>
    <col width="18" customWidth="1" min="11" max="11"/>
    <col width="14" customWidth="1" min="12" max="12"/>
  </cols>
  <sheetData>
    <row r="1">
      <c r="A1" s="1" t="inlineStr">
        <is>
          <t>Medicine Details</t>
        </is>
      </c>
    </row>
    <row r="2">
      <c r="A2" s="2" t="inlineStr">
        <is>
          <t>Only what the product page shows. Do not infer equivalence between brands.</t>
        </is>
      </c>
    </row>
    <row r="4">
      <c r="A4" s="3" t="inlineStr">
        <is>
          <t>Obs ID (from catalogue)</t>
        </is>
      </c>
      <c r="B4" s="3" t="inlineStr">
        <is>
          <t>Product name</t>
        </is>
      </c>
      <c r="C4" s="3" t="inlineStr">
        <is>
          <t>Salt composition</t>
        </is>
      </c>
      <c r="D4" s="3" t="inlineStr">
        <is>
          <t>Therapeutic class (shown)</t>
        </is>
      </c>
      <c r="E4" s="3" t="inlineStr">
        <is>
          <t>Storage</t>
        </is>
      </c>
      <c r="F4" s="3" t="inlineStr">
        <is>
          <t>Warnings</t>
        </is>
      </c>
      <c r="G4" s="3" t="inlineStr">
        <is>
          <t>Expiry shown</t>
        </is>
      </c>
      <c r="H4" s="3" t="inlineStr">
        <is>
          <t>Batch shown</t>
        </is>
      </c>
      <c r="I4" s="3" t="inlineStr">
        <is>
          <t>Substitutes shown</t>
        </is>
      </c>
      <c r="J4" s="3" t="inlineStr">
        <is>
          <t>Alt strengths</t>
        </is>
      </c>
      <c r="K4" s="3" t="inlineStr">
        <is>
          <t>Alt pack sizes</t>
        </is>
      </c>
      <c r="L4" s="3" t="inlineStr">
        <is>
          <t>Screenshot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2" customWidth="1" min="3" max="3"/>
    <col width="18" customWidth="1" min="4" max="4"/>
    <col width="24" customWidth="1" min="5" max="5"/>
  </cols>
  <sheetData>
    <row r="1">
      <c r="A1" s="1" t="inlineStr">
        <is>
          <t>Pricing and Discounts</t>
        </is>
      </c>
    </row>
    <row r="2">
      <c r="A2" s="2" t="inlineStr">
        <is>
          <t>Calculated from Master SKU Catalogue.</t>
        </is>
      </c>
    </row>
    <row r="4">
      <c r="A4" s="3" t="inlineStr">
        <is>
          <t>Category</t>
        </is>
      </c>
      <c r="B4" s="3" t="inlineStr">
        <is>
          <t>SKUs with MRP and price</t>
        </is>
      </c>
      <c r="C4" s="3" t="inlineStr">
        <is>
          <t>Average discount %</t>
        </is>
      </c>
      <c r="D4" s="3" t="inlineStr">
        <is>
          <t>Max discount %</t>
        </is>
      </c>
      <c r="E4" s="3" t="inlineStr">
        <is>
          <t>Selling &gt; MRP (flag)</t>
        </is>
      </c>
    </row>
    <row r="5">
      <c r="A5" s="4" t="inlineStr">
        <is>
          <t>Prescription medicines</t>
        </is>
      </c>
      <c r="B5" s="5">
        <f>COUNTIFS('Master SKU Catalogue'!$N$5:$N$5000,A5,'Master SKU Catalogue'!$Q$5:$Q$5000,"&gt;=-1000")</f>
        <v/>
      </c>
      <c r="C5" s="5">
        <f>IFERROR(ROUND(AVERAGEIFS('Master SKU Catalogue'!$Q$5:$Q$5000,'Master SKU Catalogue'!$N$5:$N$5000,A5),1),"n/a")</f>
        <v/>
      </c>
      <c r="D5" s="5">
        <f>IFERROR(_xlfn.MAXIFS('Master SKU Catalogue'!$Q$5:$Q$5000,'Master SKU Catalogue'!$N$5:$N$5000,A5),"n/a")</f>
        <v/>
      </c>
      <c r="E5" s="5">
        <f>COUNTIFS('Master SKU Catalogue'!$N$5:$N$5000,A5,'Master SKU Catalogue'!$Q$5:$Q$5000,"&lt;0")</f>
        <v/>
      </c>
    </row>
    <row r="6">
      <c r="A6" s="4" t="inlineStr">
        <is>
          <t>OTC medicines</t>
        </is>
      </c>
      <c r="B6" s="5">
        <f>COUNTIFS('Master SKU Catalogue'!$N$5:$N$5000,A6,'Master SKU Catalogue'!$Q$5:$Q$5000,"&gt;=-1000")</f>
        <v/>
      </c>
      <c r="C6" s="5">
        <f>IFERROR(ROUND(AVERAGEIFS('Master SKU Catalogue'!$Q$5:$Q$5000,'Master SKU Catalogue'!$N$5:$N$5000,A6),1),"n/a")</f>
        <v/>
      </c>
      <c r="D6" s="5">
        <f>IFERROR(_xlfn.MAXIFS('Master SKU Catalogue'!$Q$5:$Q$5000,'Master SKU Catalogue'!$N$5:$N$5000,A6),"n/a")</f>
        <v/>
      </c>
      <c r="E6" s="5">
        <f>COUNTIFS('Master SKU Catalogue'!$N$5:$N$5000,A6,'Master SKU Catalogue'!$Q$5:$Q$5000,"&lt;0")</f>
        <v/>
      </c>
    </row>
    <row r="7">
      <c r="A7" s="4" t="inlineStr">
        <is>
          <t>Vitamins &amp; supplements</t>
        </is>
      </c>
      <c r="B7" s="5">
        <f>COUNTIFS('Master SKU Catalogue'!$N$5:$N$5000,A7,'Master SKU Catalogue'!$Q$5:$Q$5000,"&gt;=-1000")</f>
        <v/>
      </c>
      <c r="C7" s="5">
        <f>IFERROR(ROUND(AVERAGEIFS('Master SKU Catalogue'!$Q$5:$Q$5000,'Master SKU Catalogue'!$N$5:$N$5000,A7),1),"n/a")</f>
        <v/>
      </c>
      <c r="D7" s="5">
        <f>IFERROR(_xlfn.MAXIFS('Master SKU Catalogue'!$Q$5:$Q$5000,'Master SKU Catalogue'!$N$5:$N$5000,A7),"n/a")</f>
        <v/>
      </c>
      <c r="E7" s="5">
        <f>COUNTIFS('Master SKU Catalogue'!$N$5:$N$5000,A7,'Master SKU Catalogue'!$Q$5:$Q$5000,"&lt;0")</f>
        <v/>
      </c>
    </row>
    <row r="8">
      <c r="A8" s="4" t="inlineStr">
        <is>
          <t>Personal care</t>
        </is>
      </c>
      <c r="B8" s="5">
        <f>COUNTIFS('Master SKU Catalogue'!$N$5:$N$5000,A8,'Master SKU Catalogue'!$Q$5:$Q$5000,"&gt;=-1000")</f>
        <v/>
      </c>
      <c r="C8" s="5">
        <f>IFERROR(ROUND(AVERAGEIFS('Master SKU Catalogue'!$Q$5:$Q$5000,'Master SKU Catalogue'!$N$5:$N$5000,A8),1),"n/a")</f>
        <v/>
      </c>
      <c r="D8" s="5">
        <f>IFERROR(_xlfn.MAXIFS('Master SKU Catalogue'!$Q$5:$Q$5000,'Master SKU Catalogue'!$N$5:$N$5000,A8),"n/a")</f>
        <v/>
      </c>
      <c r="E8" s="5">
        <f>COUNTIFS('Master SKU Catalogue'!$N$5:$N$5000,A8,'Master SKU Catalogue'!$Q$5:$Q$5000,"&lt;0")</f>
        <v/>
      </c>
    </row>
    <row r="9">
      <c r="A9" s="4" t="inlineStr">
        <is>
          <t>Baby care</t>
        </is>
      </c>
      <c r="B9" s="5">
        <f>COUNTIFS('Master SKU Catalogue'!$N$5:$N$5000,A9,'Master SKU Catalogue'!$Q$5:$Q$5000,"&gt;=-1000")</f>
        <v/>
      </c>
      <c r="C9" s="5">
        <f>IFERROR(ROUND(AVERAGEIFS('Master SKU Catalogue'!$Q$5:$Q$5000,'Master SKU Catalogue'!$N$5:$N$5000,A9),1),"n/a")</f>
        <v/>
      </c>
      <c r="D9" s="5">
        <f>IFERROR(_xlfn.MAXIFS('Master SKU Catalogue'!$Q$5:$Q$5000,'Master SKU Catalogue'!$N$5:$N$5000,A9),"n/a")</f>
        <v/>
      </c>
      <c r="E9" s="5">
        <f>COUNTIFS('Master SKU Catalogue'!$N$5:$N$5000,A9,'Master SKU Catalogue'!$Q$5:$Q$5000,"&lt;0")</f>
        <v/>
      </c>
    </row>
    <row r="10">
      <c r="A10" s="4" t="inlineStr">
        <is>
          <t>Diabetes care</t>
        </is>
      </c>
      <c r="B10" s="5">
        <f>COUNTIFS('Master SKU Catalogue'!$N$5:$N$5000,A10,'Master SKU Catalogue'!$Q$5:$Q$5000,"&gt;=-1000")</f>
        <v/>
      </c>
      <c r="C10" s="5">
        <f>IFERROR(ROUND(AVERAGEIFS('Master SKU Catalogue'!$Q$5:$Q$5000,'Master SKU Catalogue'!$N$5:$N$5000,A10),1),"n/a")</f>
        <v/>
      </c>
      <c r="D10" s="5">
        <f>IFERROR(_xlfn.MAXIFS('Master SKU Catalogue'!$Q$5:$Q$5000,'Master SKU Catalogue'!$N$5:$N$5000,A10),"n/a")</f>
        <v/>
      </c>
      <c r="E10" s="5">
        <f>COUNTIFS('Master SKU Catalogue'!$N$5:$N$5000,A10,'Master SKU Catalogue'!$Q$5:$Q$5000,"&lt;0")</f>
        <v/>
      </c>
    </row>
    <row r="11">
      <c r="A11" s="4" t="inlineStr">
        <is>
          <t>Medical devices</t>
        </is>
      </c>
      <c r="B11" s="5">
        <f>COUNTIFS('Master SKU Catalogue'!$N$5:$N$5000,A11,'Master SKU Catalogue'!$Q$5:$Q$5000,"&gt;=-1000")</f>
        <v/>
      </c>
      <c r="C11" s="5">
        <f>IFERROR(ROUND(AVERAGEIFS('Master SKU Catalogue'!$Q$5:$Q$5000,'Master SKU Catalogue'!$N$5:$N$5000,A11),1),"n/a")</f>
        <v/>
      </c>
      <c r="D11" s="5">
        <f>IFERROR(_xlfn.MAXIFS('Master SKU Catalogue'!$Q$5:$Q$5000,'Master SKU Catalogue'!$N$5:$N$5000,A11),"n/a")</f>
        <v/>
      </c>
      <c r="E11" s="5">
        <f>COUNTIFS('Master SKU Catalogue'!$N$5:$N$5000,A11,'Master SKU Catalogue'!$Q$5:$Q$5000,"&lt;0")</f>
        <v/>
      </c>
    </row>
    <row r="12">
      <c r="A12" s="4" t="inlineStr">
        <is>
          <t>Ayurveda</t>
        </is>
      </c>
      <c r="B12" s="5">
        <f>COUNTIFS('Master SKU Catalogue'!$N$5:$N$5000,A12,'Master SKU Catalogue'!$Q$5:$Q$5000,"&gt;=-1000")</f>
        <v/>
      </c>
      <c r="C12" s="5">
        <f>IFERROR(ROUND(AVERAGEIFS('Master SKU Catalogue'!$Q$5:$Q$5000,'Master SKU Catalogue'!$N$5:$N$5000,A12),1),"n/a")</f>
        <v/>
      </c>
      <c r="D12" s="5">
        <f>IFERROR(_xlfn.MAXIFS('Master SKU Catalogue'!$Q$5:$Q$5000,'Master SKU Catalogue'!$N$5:$N$5000,A12),"n/a")</f>
        <v/>
      </c>
      <c r="E12" s="5">
        <f>COUNTIFS('Master SKU Catalogue'!$N$5:$N$5000,A12,'Master SKU Catalogue'!$Q$5:$Q$5000,"&lt;0")</f>
        <v/>
      </c>
    </row>
    <row r="13">
      <c r="A13" s="4" t="inlineStr">
        <is>
          <t>Other</t>
        </is>
      </c>
      <c r="B13" s="5">
        <f>COUNTIFS('Master SKU Catalogue'!$N$5:$N$5000,A13,'Master SKU Catalogue'!$Q$5:$Q$5000,"&gt;=-1000")</f>
        <v/>
      </c>
      <c r="C13" s="5">
        <f>IFERROR(ROUND(AVERAGEIFS('Master SKU Catalogue'!$Q$5:$Q$5000,'Master SKU Catalogue'!$N$5:$N$5000,A13),1),"n/a")</f>
        <v/>
      </c>
      <c r="D13" s="5">
        <f>IFERROR(_xlfn.MAXIFS('Master SKU Catalogue'!$Q$5:$Q$5000,'Master SKU Catalogue'!$N$5:$N$5000,A13),"n/a")</f>
        <v/>
      </c>
      <c r="E13" s="5">
        <f>COUNTIFS('Master SKU Catalogue'!$N$5:$N$5000,A13,'Master SKU Catalogue'!$Q$5:$Q$5000,"&lt;0")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5" customWidth="1" min="6" max="6"/>
    <col width="15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Delivery ETA</t>
        </is>
      </c>
    </row>
    <row r="2">
      <c r="A2" s="2" t="inlineStr">
        <is>
          <t>Exact text as displayed. Slots: morning 8–10, afternoon 12–2, evening 6–8, night 9–11 (IST). A promise is not a measured delivery time.</t>
        </is>
      </c>
    </row>
    <row r="4">
      <c r="A4" s="3" t="inlineStr">
        <is>
          <t>Obs ID</t>
        </is>
      </c>
      <c r="B4" s="3" t="inlineStr">
        <is>
          <t>Date</t>
        </is>
      </c>
      <c r="C4" s="3" t="inlineStr">
        <is>
          <t>Time (IST)</t>
        </is>
      </c>
      <c r="D4" s="3" t="inlineStr">
        <is>
          <t>Slot</t>
        </is>
      </c>
      <c r="E4" s="3" t="inlineStr">
        <is>
          <t>ETA text (exact)</t>
        </is>
      </c>
      <c r="F4" s="3" t="inlineStr">
        <is>
          <t>Where shown</t>
        </is>
      </c>
      <c r="G4" s="3" t="inlineStr">
        <is>
          <t>Address PIN</t>
        </is>
      </c>
      <c r="H4" s="3" t="inlineStr">
        <is>
          <t>Express option</t>
        </is>
      </c>
      <c r="I4" s="3" t="inlineStr">
        <is>
          <t>Scheduled option</t>
        </is>
      </c>
      <c r="J4" s="3" t="inlineStr">
        <is>
          <t>Screenshot</t>
        </is>
      </c>
      <c r="K4" s="3" t="inlineStr">
        <is>
          <t>Notes</t>
        </is>
      </c>
    </row>
    <row r="5">
      <c r="A5" s="4" t="inlineStr">
        <is>
          <t>ETA-0</t>
        </is>
      </c>
      <c r="B5" s="4" t="inlineStr">
        <is>
          <t>2026-10-12</t>
        </is>
      </c>
      <c r="C5" s="5" t="inlineStr"/>
      <c r="D5" s="5" t="inlineStr"/>
      <c r="E5" s="4" t="inlineStr">
        <is>
          <t>15 minutes (claimed)</t>
        </is>
      </c>
      <c r="F5" s="4" t="inlineStr">
        <is>
          <t>structured data / FAQ</t>
        </is>
      </c>
      <c r="G5" s="5" t="inlineStr"/>
      <c r="H5" s="5" t="inlineStr"/>
      <c r="I5" s="5" t="inlineStr"/>
      <c r="J5" s="5" t="inlineStr"/>
      <c r="K5" s="4" t="inlineStr">
        <is>
          <t>Marketing claim, not a displayed checkout ETA</t>
        </is>
      </c>
    </row>
  </sheetData>
  <dataValidations count="2">
    <dataValidation sqref="D5:D2000" showDropDown="0" showInputMessage="0" showErrorMessage="0" allowBlank="1" type="list">
      <formula1>"morning,afternoon,evening,night"</formula1>
    </dataValidation>
    <dataValidation sqref="F5:F2000" showDropDown="0" showInputMessage="0" showErrorMessage="0" allowBlank="1" type="list">
      <formula1>"home,category,product,cart,checkout"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3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Checkout Fee Matrix</t>
        </is>
      </c>
    </row>
    <row r="2">
      <c r="A2" s="2" t="inlineStr">
        <is>
          <t>Fill from cart/checkout screens (stop before payment).</t>
        </is>
      </c>
    </row>
    <row r="4">
      <c r="A4" s="3" t="inlineStr">
        <is>
          <t>Fee</t>
        </is>
      </c>
      <c r="B4" s="3" t="inlineStr">
        <is>
          <t>Seen?</t>
        </is>
      </c>
      <c r="C4" s="3" t="inlineStr">
        <is>
          <t>Amount / rule (exact text)</t>
        </is>
      </c>
      <c r="D4" s="3" t="inlineStr">
        <is>
          <t>Condition (basket value, time)</t>
        </is>
      </c>
      <c r="E4" s="3" t="inlineStr">
        <is>
          <t>Basket ID</t>
        </is>
      </c>
      <c r="F4" s="3" t="inlineStr">
        <is>
          <t>Screenshot</t>
        </is>
      </c>
      <c r="G4" s="3" t="inlineStr">
        <is>
          <t>Notes</t>
        </is>
      </c>
    </row>
    <row r="5">
      <c r="A5" s="4" t="inlineStr">
        <is>
          <t>Delivery fee</t>
        </is>
      </c>
      <c r="B5" s="5" t="n"/>
      <c r="C5" s="5" t="n"/>
      <c r="D5" s="5" t="n"/>
      <c r="E5" s="5" t="n"/>
      <c r="F5" s="5" t="n"/>
      <c r="G5" s="5" t="n"/>
    </row>
    <row r="6">
      <c r="A6" s="4" t="inlineStr">
        <is>
          <t>Handling fee</t>
        </is>
      </c>
      <c r="B6" s="5" t="n"/>
      <c r="C6" s="5" t="n"/>
      <c r="D6" s="5" t="n"/>
      <c r="E6" s="5" t="n"/>
      <c r="F6" s="5" t="n"/>
      <c r="G6" s="5" t="n"/>
    </row>
    <row r="7">
      <c r="A7" s="4" t="inlineStr">
        <is>
          <t>Platform fee</t>
        </is>
      </c>
      <c r="B7" s="5" t="n"/>
      <c r="C7" s="5" t="n"/>
      <c r="D7" s="5" t="n"/>
      <c r="E7" s="5" t="n"/>
      <c r="F7" s="5" t="n"/>
      <c r="G7" s="5" t="n"/>
    </row>
    <row r="8">
      <c r="A8" s="4" t="inlineStr">
        <is>
          <t>Packaging fee</t>
        </is>
      </c>
      <c r="B8" s="5" t="n"/>
      <c r="C8" s="5" t="n"/>
      <c r="D8" s="5" t="n"/>
      <c r="E8" s="5" t="n"/>
      <c r="F8" s="5" t="n"/>
      <c r="G8" s="5" t="n"/>
    </row>
    <row r="9">
      <c r="A9" s="4" t="inlineStr">
        <is>
          <t>Small-cart fee</t>
        </is>
      </c>
      <c r="B9" s="5" t="n"/>
      <c r="C9" s="5" t="n"/>
      <c r="D9" s="5" t="n"/>
      <c r="E9" s="5" t="n"/>
      <c r="F9" s="5" t="n"/>
      <c r="G9" s="5" t="n"/>
    </row>
    <row r="10">
      <c r="A10" s="4" t="inlineStr">
        <is>
          <t>Surge / late-night fee</t>
        </is>
      </c>
      <c r="B10" s="5" t="n"/>
      <c r="C10" s="5" t="n"/>
      <c r="D10" s="5" t="n"/>
      <c r="E10" s="5" t="n"/>
      <c r="F10" s="5" t="n"/>
      <c r="G10" s="5" t="n"/>
    </row>
    <row r="11">
      <c r="A11" s="4" t="inlineStr">
        <is>
          <t>Priority fee</t>
        </is>
      </c>
      <c r="B11" s="5" t="n"/>
      <c r="C11" s="5" t="n"/>
      <c r="D11" s="5" t="n"/>
      <c r="E11" s="5" t="n"/>
      <c r="F11" s="5" t="n"/>
      <c r="G11" s="5" t="n"/>
    </row>
    <row r="12">
      <c r="A12" s="4" t="inlineStr">
        <is>
          <t>Rx processing fee</t>
        </is>
      </c>
      <c r="B12" s="5" t="n"/>
      <c r="C12" s="5" t="n"/>
      <c r="D12" s="5" t="n"/>
      <c r="E12" s="5" t="n"/>
      <c r="F12" s="5" t="n"/>
      <c r="G12" s="5" t="n"/>
    </row>
    <row r="13">
      <c r="A13" s="4" t="inlineStr">
        <is>
          <t>COD fee</t>
        </is>
      </c>
      <c r="B13" s="5" t="n"/>
      <c r="C13" s="5" t="n"/>
      <c r="D13" s="5" t="n"/>
      <c r="E13" s="5" t="n"/>
      <c r="F13" s="5" t="n"/>
      <c r="G13" s="5" t="n"/>
    </row>
    <row r="14">
      <c r="A14" s="4" t="inlineStr">
        <is>
          <t>Payment fee</t>
        </is>
      </c>
      <c r="B14" s="5" t="n"/>
      <c r="C14" s="5" t="n"/>
      <c r="D14" s="5" t="n"/>
      <c r="E14" s="5" t="n"/>
      <c r="F14" s="5" t="n"/>
      <c r="G14" s="5" t="n"/>
    </row>
    <row r="15">
      <c r="A15" s="4" t="inlineStr">
        <is>
          <t>Free-delivery threshold</t>
        </is>
      </c>
      <c r="B15" s="5" t="n"/>
      <c r="C15" s="5" t="n"/>
      <c r="D15" s="5" t="n"/>
      <c r="E15" s="5" t="n"/>
      <c r="F15" s="5" t="n"/>
      <c r="G15" s="5" t="n"/>
    </row>
    <row r="16">
      <c r="A16" s="4" t="inlineStr">
        <is>
          <t>Taxes shown</t>
        </is>
      </c>
      <c r="B16" s="5" t="n"/>
      <c r="C16" s="5" t="n"/>
      <c r="D16" s="5" t="n"/>
      <c r="E16" s="5" t="n"/>
      <c r="F16" s="5" t="n"/>
      <c r="G16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6" customWidth="1" min="4" max="4"/>
    <col width="22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7" customWidth="1" min="12" max="12"/>
    <col width="20" customWidth="1" min="13" max="13"/>
    <col width="17" customWidth="1" min="14" max="14"/>
    <col width="22" customWidth="1" min="15" max="15"/>
    <col width="14" customWidth="1" min="16" max="16"/>
    <col width="18" customWidth="1" min="17" max="17"/>
    <col width="14" customWidth="1" min="18" max="18"/>
    <col width="15" customWidth="1" min="19" max="19"/>
    <col width="14" customWidth="1" min="20" max="20"/>
  </cols>
  <sheetData>
    <row r="1">
      <c r="A1" s="1" t="inlineStr">
        <is>
          <t>Basket Experiments</t>
        </is>
      </c>
    </row>
    <row r="2">
      <c r="A2" s="2" t="inlineStr">
        <is>
          <t>Build each basket in the cart only; never pay or place the order. Total check = 0 means the arithmetic matches.</t>
        </is>
      </c>
    </row>
    <row r="4">
      <c r="A4" s="3" t="inlineStr">
        <is>
          <t>Basket ID</t>
        </is>
      </c>
      <c r="B4" s="3" t="inlineStr">
        <is>
          <t>Target ₹</t>
        </is>
      </c>
      <c r="C4" s="3" t="inlineStr">
        <is>
          <t>Items (name × qty)</t>
        </is>
      </c>
      <c r="D4" s="3" t="inlineStr">
        <is>
          <t>Basket MRP ₹</t>
        </is>
      </c>
      <c r="E4" s="3" t="inlineStr">
        <is>
          <t>Selling subtotal ₹</t>
        </is>
      </c>
      <c r="F4" s="3" t="inlineStr">
        <is>
          <t>Product discount ₹</t>
        </is>
      </c>
      <c r="G4" s="3" t="inlineStr">
        <is>
          <t>Coupon ₹</t>
        </is>
      </c>
      <c r="H4" s="3" t="inlineStr">
        <is>
          <t>Delivery ₹</t>
        </is>
      </c>
      <c r="I4" s="3" t="inlineStr">
        <is>
          <t>Handling ₹</t>
        </is>
      </c>
      <c r="J4" s="3" t="inlineStr">
        <is>
          <t>Platform ₹</t>
        </is>
      </c>
      <c r="K4" s="3" t="inlineStr">
        <is>
          <t>Other ₹</t>
        </is>
      </c>
      <c r="L4" s="3" t="inlineStr">
        <is>
          <t>Total payable (shown) ₹</t>
        </is>
      </c>
      <c r="M4" s="3" t="inlineStr">
        <is>
          <t>Computed total ₹</t>
        </is>
      </c>
      <c r="N4" s="3" t="inlineStr">
        <is>
          <t>Total check ₹</t>
        </is>
      </c>
      <c r="O4" s="3" t="inlineStr">
        <is>
          <t>Fees % of subtotal</t>
        </is>
      </c>
      <c r="P4" s="3" t="inlineStr">
        <is>
          <t>ETA text</t>
        </is>
      </c>
      <c r="Q4" s="3" t="inlineStr">
        <is>
          <t>Free delivery?</t>
        </is>
      </c>
      <c r="R4" s="3" t="inlineStr">
        <is>
          <t>Mix</t>
        </is>
      </c>
      <c r="S4" s="3" t="inlineStr">
        <is>
          <t>Observed at</t>
        </is>
      </c>
      <c r="T4" s="3" t="inlineStr">
        <is>
          <t>Screenshot</t>
        </is>
      </c>
    </row>
    <row r="5">
      <c r="A5" s="4" t="inlineStr">
        <is>
          <t>B01</t>
        </is>
      </c>
      <c r="B5" s="4" t="n">
        <v>99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>
        <f>IF(ISNUMBER(E5),E5-N(G5)+N(H5)+N(I5)+N(J5)+N(K5),"")</f>
        <v/>
      </c>
      <c r="N5" s="5">
        <f>IF(AND(ISNUMBER(L5),ISNUMBER(M5)),ROUND(L5-M5,2),"")</f>
        <v/>
      </c>
      <c r="O5" s="5">
        <f>IF(AND(ISNUMBER(E5),E5&gt;0),ROUND((N(H5)+N(I5)+N(J5)+N(K5))/E5*100,1),"")</f>
        <v/>
      </c>
      <c r="P5" s="5" t="n"/>
      <c r="Q5" s="5" t="n"/>
      <c r="R5" s="5" t="n"/>
      <c r="S5" s="5" t="n"/>
      <c r="T5" s="5" t="n"/>
    </row>
    <row r="6">
      <c r="A6" s="4" t="inlineStr">
        <is>
          <t>B02</t>
        </is>
      </c>
      <c r="B6" s="4" t="n">
        <v>199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>
        <f>IF(ISNUMBER(E6),E6-N(G6)+N(H6)+N(I6)+N(J6)+N(K6),"")</f>
        <v/>
      </c>
      <c r="N6" s="5">
        <f>IF(AND(ISNUMBER(L6),ISNUMBER(M6)),ROUND(L6-M6,2),"")</f>
        <v/>
      </c>
      <c r="O6" s="5">
        <f>IF(AND(ISNUMBER(E6),E6&gt;0),ROUND((N(H6)+N(I6)+N(J6)+N(K6))/E6*100,1),"")</f>
        <v/>
      </c>
      <c r="P6" s="5" t="n"/>
      <c r="Q6" s="5" t="n"/>
      <c r="R6" s="5" t="n"/>
      <c r="S6" s="5" t="n"/>
      <c r="T6" s="5" t="n"/>
    </row>
    <row r="7">
      <c r="A7" s="4" t="inlineStr">
        <is>
          <t>B03</t>
        </is>
      </c>
      <c r="B7" s="4" t="n">
        <v>299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>
        <f>IF(ISNUMBER(E7),E7-N(G7)+N(H7)+N(I7)+N(J7)+N(K7),"")</f>
        <v/>
      </c>
      <c r="N7" s="5">
        <f>IF(AND(ISNUMBER(L7),ISNUMBER(M7)),ROUND(L7-M7,2),"")</f>
        <v/>
      </c>
      <c r="O7" s="5">
        <f>IF(AND(ISNUMBER(E7),E7&gt;0),ROUND((N(H7)+N(I7)+N(J7)+N(K7))/E7*100,1),"")</f>
        <v/>
      </c>
      <c r="P7" s="5" t="n"/>
      <c r="Q7" s="5" t="n"/>
      <c r="R7" s="5" t="n"/>
      <c r="S7" s="5" t="n"/>
      <c r="T7" s="5" t="n"/>
    </row>
    <row r="8">
      <c r="A8" s="4" t="inlineStr">
        <is>
          <t>B04</t>
        </is>
      </c>
      <c r="B8" s="4" t="n">
        <v>399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>
        <f>IF(ISNUMBER(E8),E8-N(G8)+N(H8)+N(I8)+N(J8)+N(K8),"")</f>
        <v/>
      </c>
      <c r="N8" s="5">
        <f>IF(AND(ISNUMBER(L8),ISNUMBER(M8)),ROUND(L8-M8,2),"")</f>
        <v/>
      </c>
      <c r="O8" s="5">
        <f>IF(AND(ISNUMBER(E8),E8&gt;0),ROUND((N(H8)+N(I8)+N(J8)+N(K8))/E8*100,1),"")</f>
        <v/>
      </c>
      <c r="P8" s="5" t="n"/>
      <c r="Q8" s="5" t="n"/>
      <c r="R8" s="5" t="n"/>
      <c r="S8" s="5" t="n"/>
      <c r="T8" s="5" t="n"/>
    </row>
    <row r="9">
      <c r="A9" s="4" t="inlineStr">
        <is>
          <t>B05</t>
        </is>
      </c>
      <c r="B9" s="4" t="n">
        <v>499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>
        <f>IF(ISNUMBER(E9),E9-N(G9)+N(H9)+N(I9)+N(J9)+N(K9),"")</f>
        <v/>
      </c>
      <c r="N9" s="5">
        <f>IF(AND(ISNUMBER(L9),ISNUMBER(M9)),ROUND(L9-M9,2),"")</f>
        <v/>
      </c>
      <c r="O9" s="5">
        <f>IF(AND(ISNUMBER(E9),E9&gt;0),ROUND((N(H9)+N(I9)+N(J9)+N(K9))/E9*100,1),"")</f>
        <v/>
      </c>
      <c r="P9" s="5" t="n"/>
      <c r="Q9" s="5" t="n"/>
      <c r="R9" s="5" t="n"/>
      <c r="S9" s="5" t="n"/>
      <c r="T9" s="5" t="n"/>
    </row>
    <row r="10">
      <c r="A10" s="4" t="inlineStr">
        <is>
          <t>B06</t>
        </is>
      </c>
      <c r="B10" s="4" t="n">
        <v>599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>
        <f>IF(ISNUMBER(E10),E10-N(G10)+N(H10)+N(I10)+N(J10)+N(K10),"")</f>
        <v/>
      </c>
      <c r="N10" s="5">
        <f>IF(AND(ISNUMBER(L10),ISNUMBER(M10)),ROUND(L10-M10,2),"")</f>
        <v/>
      </c>
      <c r="O10" s="5">
        <f>IF(AND(ISNUMBER(E10),E10&gt;0),ROUND((N(H10)+N(I10)+N(J10)+N(K10))/E10*100,1),"")</f>
        <v/>
      </c>
      <c r="P10" s="5" t="n"/>
      <c r="Q10" s="5" t="n"/>
      <c r="R10" s="5" t="n"/>
      <c r="S10" s="5" t="n"/>
      <c r="T10" s="5" t="n"/>
    </row>
    <row r="11">
      <c r="A11" s="4" t="inlineStr">
        <is>
          <t>B07</t>
        </is>
      </c>
      <c r="B11" s="4" t="n">
        <v>699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>
        <f>IF(ISNUMBER(E11),E11-N(G11)+N(H11)+N(I11)+N(J11)+N(K11),"")</f>
        <v/>
      </c>
      <c r="N11" s="5">
        <f>IF(AND(ISNUMBER(L11),ISNUMBER(M11)),ROUND(L11-M11,2),"")</f>
        <v/>
      </c>
      <c r="O11" s="5">
        <f>IF(AND(ISNUMBER(E11),E11&gt;0),ROUND((N(H11)+N(I11)+N(J11)+N(K11))/E11*100,1),"")</f>
        <v/>
      </c>
      <c r="P11" s="5" t="n"/>
      <c r="Q11" s="5" t="n"/>
      <c r="R11" s="5" t="n"/>
      <c r="S11" s="5" t="n"/>
      <c r="T11" s="5" t="n"/>
    </row>
    <row r="12">
      <c r="A12" s="4" t="inlineStr">
        <is>
          <t>B08</t>
        </is>
      </c>
      <c r="B12" s="4" t="n">
        <v>799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>
        <f>IF(ISNUMBER(E12),E12-N(G12)+N(H12)+N(I12)+N(J12)+N(K12),"")</f>
        <v/>
      </c>
      <c r="N12" s="5">
        <f>IF(AND(ISNUMBER(L12),ISNUMBER(M12)),ROUND(L12-M12,2),"")</f>
        <v/>
      </c>
      <c r="O12" s="5">
        <f>IF(AND(ISNUMBER(E12),E12&gt;0),ROUND((N(H12)+N(I12)+N(J12)+N(K12))/E12*100,1),"")</f>
        <v/>
      </c>
      <c r="P12" s="5" t="n"/>
      <c r="Q12" s="5" t="n"/>
      <c r="R12" s="5" t="n"/>
      <c r="S12" s="5" t="n"/>
      <c r="T12" s="5" t="n"/>
    </row>
    <row r="13">
      <c r="A13" s="4" t="inlineStr">
        <is>
          <t>B09</t>
        </is>
      </c>
      <c r="B13" s="4" t="n">
        <v>999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>
        <f>IF(ISNUMBER(E13),E13-N(G13)+N(H13)+N(I13)+N(J13)+N(K13),"")</f>
        <v/>
      </c>
      <c r="N13" s="5">
        <f>IF(AND(ISNUMBER(L13),ISNUMBER(M13)),ROUND(L13-M13,2),"")</f>
        <v/>
      </c>
      <c r="O13" s="5">
        <f>IF(AND(ISNUMBER(E13),E13&gt;0),ROUND((N(H13)+N(I13)+N(J13)+N(K13))/E13*100,1),"")</f>
        <v/>
      </c>
      <c r="P13" s="5" t="n"/>
      <c r="Q13" s="5" t="n"/>
      <c r="R13" s="5" t="n"/>
      <c r="S13" s="5" t="n"/>
      <c r="T13" s="5" t="n"/>
    </row>
    <row r="14">
      <c r="A14" s="4" t="inlineStr">
        <is>
          <t>B10</t>
        </is>
      </c>
      <c r="B14" s="4" t="n">
        <v>1499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>
        <f>IF(ISNUMBER(E14),E14-N(G14)+N(H14)+N(I14)+N(J14)+N(K14),"")</f>
        <v/>
      </c>
      <c r="N14" s="5">
        <f>IF(AND(ISNUMBER(L14),ISNUMBER(M14)),ROUND(L14-M14,2),"")</f>
        <v/>
      </c>
      <c r="O14" s="5">
        <f>IF(AND(ISNUMBER(E14),E14&gt;0),ROUND((N(H14)+N(I14)+N(J14)+N(K14))/E14*100,1),"")</f>
        <v/>
      </c>
      <c r="P14" s="5" t="n"/>
      <c r="Q14" s="5" t="n"/>
      <c r="R14" s="5" t="n"/>
      <c r="S14" s="5" t="n"/>
      <c r="T14" s="5" t="n"/>
    </row>
    <row r="15">
      <c r="A15" s="4" t="inlineStr">
        <is>
          <t>B11</t>
        </is>
      </c>
      <c r="B15" s="4" t="n">
        <v>1999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>
        <f>IF(ISNUMBER(E15),E15-N(G15)+N(H15)+N(I15)+N(J15)+N(K15),"")</f>
        <v/>
      </c>
      <c r="N15" s="5">
        <f>IF(AND(ISNUMBER(L15),ISNUMBER(M15)),ROUND(L15-M15,2),"")</f>
        <v/>
      </c>
      <c r="O15" s="5">
        <f>IF(AND(ISNUMBER(E15),E15&gt;0),ROUND((N(H15)+N(I15)+N(J15)+N(K15))/E15*100,1),"")</f>
        <v/>
      </c>
      <c r="P15" s="5" t="n"/>
      <c r="Q15" s="5" t="n"/>
      <c r="R15" s="5" t="n"/>
      <c r="S15" s="5" t="n"/>
      <c r="T15" s="5" t="n"/>
    </row>
    <row r="16">
      <c r="A16" s="4" t="inlineStr">
        <is>
          <t>B12</t>
        </is>
      </c>
      <c r="B16" s="4" t="n">
        <v>2999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>
        <f>IF(ISNUMBER(E16),E16-N(G16)+N(H16)+N(I16)+N(J16)+N(K16),"")</f>
        <v/>
      </c>
      <c r="N16" s="5">
        <f>IF(AND(ISNUMBER(L16),ISNUMBER(M16)),ROUND(L16-M16,2),"")</f>
        <v/>
      </c>
      <c r="O16" s="5">
        <f>IF(AND(ISNUMBER(E16),E16&gt;0),ROUND((N(H16)+N(I16)+N(J16)+N(K16))/E16*100,1),"")</f>
        <v/>
      </c>
      <c r="P16" s="5" t="n"/>
      <c r="Q16" s="5" t="n"/>
      <c r="R16" s="5" t="n"/>
      <c r="S16" s="5" t="n"/>
      <c r="T16" s="5" t="n"/>
    </row>
    <row r="17">
      <c r="M17">
        <f>IF(ISNUMBER(E17),E17-N(G17)+N(H17)+N(I17)+N(J17)+N(K17),"")</f>
        <v/>
      </c>
      <c r="N17">
        <f>IF(AND(ISNUMBER(L17),ISNUMBER(M17)),ROUND(L17-M17,2),"")</f>
        <v/>
      </c>
      <c r="O17">
        <f>IF(AND(ISNUMBER(E17),E17&gt;0),ROUND((N(H17)+N(I17)+N(J17)+N(K17))/E17*100,1),"")</f>
        <v/>
      </c>
    </row>
    <row r="18">
      <c r="M18">
        <f>IF(ISNUMBER(E18),E18-N(G18)+N(H18)+N(I18)+N(J18)+N(K18),"")</f>
        <v/>
      </c>
      <c r="N18">
        <f>IF(AND(ISNUMBER(L18),ISNUMBER(M18)),ROUND(L18-M18,2),"")</f>
        <v/>
      </c>
      <c r="O18">
        <f>IF(AND(ISNUMBER(E18),E18&gt;0),ROUND((N(H18)+N(I18)+N(J18)+N(K18))/E18*100,1),"")</f>
        <v/>
      </c>
    </row>
    <row r="19">
      <c r="M19">
        <f>IF(ISNUMBER(E19),E19-N(G19)+N(H19)+N(I19)+N(J19)+N(K19),"")</f>
        <v/>
      </c>
      <c r="N19">
        <f>IF(AND(ISNUMBER(L19),ISNUMBER(M19)),ROUND(L19-M19,2),"")</f>
        <v/>
      </c>
      <c r="O19">
        <f>IF(AND(ISNUMBER(E19),E19&gt;0),ROUND((N(H19)+N(I19)+N(J19)+N(K19))/E19*100,1),"")</f>
        <v/>
      </c>
    </row>
    <row r="20">
      <c r="M20">
        <f>IF(ISNUMBER(E20),E20-N(G20)+N(H20)+N(I20)+N(J20)+N(K20),"")</f>
        <v/>
      </c>
      <c r="N20">
        <f>IF(AND(ISNUMBER(L20),ISNUMBER(M20)),ROUND(L20-M20,2),"")</f>
        <v/>
      </c>
      <c r="O20">
        <f>IF(AND(ISNUMBER(E20),E20&gt;0),ROUND((N(H20)+N(I20)+N(J20)+N(K20))/E20*100,1),"")</f>
        <v/>
      </c>
    </row>
    <row r="21">
      <c r="M21">
        <f>IF(ISNUMBER(E21),E21-N(G21)+N(H21)+N(I21)+N(J21)+N(K21),"")</f>
        <v/>
      </c>
      <c r="N21">
        <f>IF(AND(ISNUMBER(L21),ISNUMBER(M21)),ROUND(L21-M21,2),"")</f>
        <v/>
      </c>
      <c r="O21">
        <f>IF(AND(ISNUMBER(E21),E21&gt;0),ROUND((N(H21)+N(I21)+N(J21)+N(K21))/E21*100,1),"")</f>
        <v/>
      </c>
    </row>
    <row r="22">
      <c r="M22">
        <f>IF(ISNUMBER(E22),E22-N(G22)+N(H22)+N(I22)+N(J22)+N(K22),"")</f>
        <v/>
      </c>
      <c r="N22">
        <f>IF(AND(ISNUMBER(L22),ISNUMBER(M22)),ROUND(L22-M22,2),"")</f>
        <v/>
      </c>
      <c r="O22">
        <f>IF(AND(ISNUMBER(E22),E22&gt;0),ROUND((N(H22)+N(I22)+N(J22)+N(K22))/E22*100,1),"")</f>
        <v/>
      </c>
    </row>
    <row r="23">
      <c r="M23">
        <f>IF(ISNUMBER(E23),E23-N(G23)+N(H23)+N(I23)+N(J23)+N(K23),"")</f>
        <v/>
      </c>
      <c r="N23">
        <f>IF(AND(ISNUMBER(L23),ISNUMBER(M23)),ROUND(L23-M23,2),"")</f>
        <v/>
      </c>
      <c r="O23">
        <f>IF(AND(ISNUMBER(E23),E23&gt;0),ROUND((N(H23)+N(I23)+N(J23)+N(K23))/E23*100,1),"")</f>
        <v/>
      </c>
    </row>
    <row r="24">
      <c r="M24">
        <f>IF(ISNUMBER(E24),E24-N(G24)+N(H24)+N(I24)+N(J24)+N(K24),"")</f>
        <v/>
      </c>
      <c r="N24">
        <f>IF(AND(ISNUMBER(L24),ISNUMBER(M24)),ROUND(L24-M24,2),"")</f>
        <v/>
      </c>
      <c r="O24">
        <f>IF(AND(ISNUMBER(E24),E24&gt;0),ROUND((N(H24)+N(I24)+N(J24)+N(K24))/E24*100,1),"")</f>
        <v/>
      </c>
    </row>
    <row r="25">
      <c r="M25">
        <f>IF(ISNUMBER(E25),E25-N(G25)+N(H25)+N(I25)+N(J25)+N(K25),"")</f>
        <v/>
      </c>
      <c r="N25">
        <f>IF(AND(ISNUMBER(L25),ISNUMBER(M25)),ROUND(L25-M25,2),"")</f>
        <v/>
      </c>
      <c r="O25">
        <f>IF(AND(ISNUMBER(E25),E25&gt;0),ROUND((N(H25)+N(I25)+N(J25)+N(K25))/E25*100,1),"")</f>
        <v/>
      </c>
    </row>
    <row r="26">
      <c r="M26">
        <f>IF(ISNUMBER(E26),E26-N(G26)+N(H26)+N(I26)+N(J26)+N(K26),"")</f>
        <v/>
      </c>
      <c r="N26">
        <f>IF(AND(ISNUMBER(L26),ISNUMBER(M26)),ROUND(L26-M26,2),"")</f>
        <v/>
      </c>
      <c r="O26">
        <f>IF(AND(ISNUMBER(E26),E26&gt;0),ROUND((N(H26)+N(I26)+N(J26)+N(K26))/E26*100,1),"")</f>
        <v/>
      </c>
    </row>
    <row r="27">
      <c r="M27">
        <f>IF(ISNUMBER(E27),E27-N(G27)+N(H27)+N(I27)+N(J27)+N(K27),"")</f>
        <v/>
      </c>
      <c r="N27">
        <f>IF(AND(ISNUMBER(L27),ISNUMBER(M27)),ROUND(L27-M27,2),"")</f>
        <v/>
      </c>
      <c r="O27">
        <f>IF(AND(ISNUMBER(E27),E27&gt;0),ROUND((N(H27)+N(I27)+N(J27)+N(K27))/E27*100,1),"")</f>
        <v/>
      </c>
    </row>
    <row r="28">
      <c r="M28">
        <f>IF(ISNUMBER(E28),E28-N(G28)+N(H28)+N(I28)+N(J28)+N(K28),"")</f>
        <v/>
      </c>
      <c r="N28">
        <f>IF(AND(ISNUMBER(L28),ISNUMBER(M28)),ROUND(L28-M28,2),"")</f>
        <v/>
      </c>
      <c r="O28">
        <f>IF(AND(ISNUMBER(E28),E28&gt;0),ROUND((N(H28)+N(I28)+N(J28)+N(K28))/E28*100,1),"")</f>
        <v/>
      </c>
    </row>
    <row r="29">
      <c r="M29">
        <f>IF(ISNUMBER(E29),E29-N(G29)+N(H29)+N(I29)+N(J29)+N(K29),"")</f>
        <v/>
      </c>
      <c r="N29">
        <f>IF(AND(ISNUMBER(L29),ISNUMBER(M29)),ROUND(L29-M29,2),"")</f>
        <v/>
      </c>
      <c r="O29">
        <f>IF(AND(ISNUMBER(E29),E29&gt;0),ROUND((N(H29)+N(I29)+N(J29)+N(K29))/E29*100,1),"")</f>
        <v/>
      </c>
    </row>
    <row r="30">
      <c r="M30">
        <f>IF(ISNUMBER(E30),E30-N(G30)+N(H30)+N(I30)+N(J30)+N(K30),"")</f>
        <v/>
      </c>
      <c r="N30">
        <f>IF(AND(ISNUMBER(L30),ISNUMBER(M30)),ROUND(L30-M30,2),"")</f>
        <v/>
      </c>
      <c r="O30">
        <f>IF(AND(ISNUMBER(E30),E30&gt;0),ROUND((N(H30)+N(I30)+N(J30)+N(K30))/E30*100,1),"")</f>
        <v/>
      </c>
    </row>
    <row r="31">
      <c r="M31">
        <f>IF(ISNUMBER(E31),E31-N(G31)+N(H31)+N(I31)+N(J31)+N(K31),"")</f>
        <v/>
      </c>
      <c r="N31">
        <f>IF(AND(ISNUMBER(L31),ISNUMBER(M31)),ROUND(L31-M31,2),"")</f>
        <v/>
      </c>
      <c r="O31">
        <f>IF(AND(ISNUMBER(E31),E31&gt;0),ROUND((N(H31)+N(I31)+N(J31)+N(K31))/E31*100,1),"")</f>
        <v/>
      </c>
    </row>
    <row r="32">
      <c r="M32">
        <f>IF(ISNUMBER(E32),E32-N(G32)+N(H32)+N(I32)+N(J32)+N(K32),"")</f>
        <v/>
      </c>
      <c r="N32">
        <f>IF(AND(ISNUMBER(L32),ISNUMBER(M32)),ROUND(L32-M32,2),"")</f>
        <v/>
      </c>
      <c r="O32">
        <f>IF(AND(ISNUMBER(E32),E32&gt;0),ROUND((N(H32)+N(I32)+N(J32)+N(K32))/E32*100,1),"")</f>
        <v/>
      </c>
    </row>
    <row r="33">
      <c r="M33">
        <f>IF(ISNUMBER(E33),E33-N(G33)+N(H33)+N(I33)+N(J33)+N(K33),"")</f>
        <v/>
      </c>
      <c r="N33">
        <f>IF(AND(ISNUMBER(L33),ISNUMBER(M33)),ROUND(L33-M33,2),"")</f>
        <v/>
      </c>
      <c r="O33">
        <f>IF(AND(ISNUMBER(E33),E33&gt;0),ROUND((N(H33)+N(I33)+N(J33)+N(K33))/E33*100,1),"")</f>
        <v/>
      </c>
    </row>
    <row r="34">
      <c r="M34">
        <f>IF(ISNUMBER(E34),E34-N(G34)+N(H34)+N(I34)+N(J34)+N(K34),"")</f>
        <v/>
      </c>
      <c r="N34">
        <f>IF(AND(ISNUMBER(L34),ISNUMBER(M34)),ROUND(L34-M34,2),"")</f>
        <v/>
      </c>
      <c r="O34">
        <f>IF(AND(ISNUMBER(E34),E34&gt;0),ROUND((N(H34)+N(I34)+N(J34)+N(K34))/E34*100,1),"")</f>
        <v/>
      </c>
    </row>
    <row r="35">
      <c r="M35">
        <f>IF(ISNUMBER(E35),E35-N(G35)+N(H35)+N(I35)+N(J35)+N(K35),"")</f>
        <v/>
      </c>
      <c r="N35">
        <f>IF(AND(ISNUMBER(L35),ISNUMBER(M35)),ROUND(L35-M35,2),"")</f>
        <v/>
      </c>
      <c r="O35">
        <f>IF(AND(ISNUMBER(E35),E35&gt;0),ROUND((N(H35)+N(I35)+N(J35)+N(K35))/E35*100,1),"")</f>
        <v/>
      </c>
    </row>
    <row r="36">
      <c r="M36">
        <f>IF(ISNUMBER(E36),E36-N(G36)+N(H36)+N(I36)+N(J36)+N(K36),"")</f>
        <v/>
      </c>
      <c r="N36">
        <f>IF(AND(ISNUMBER(L36),ISNUMBER(M36)),ROUND(L36-M36,2),"")</f>
        <v/>
      </c>
      <c r="O36">
        <f>IF(AND(ISNUMBER(E36),E36&gt;0),ROUND((N(H36)+N(I36)+N(J36)+N(K36))/E36*100,1),"")</f>
        <v/>
      </c>
    </row>
    <row r="37">
      <c r="M37">
        <f>IF(ISNUMBER(E37),E37-N(G37)+N(H37)+N(I37)+N(J37)+N(K37),"")</f>
        <v/>
      </c>
      <c r="N37">
        <f>IF(AND(ISNUMBER(L37),ISNUMBER(M37)),ROUND(L37-M37,2),"")</f>
        <v/>
      </c>
      <c r="O37">
        <f>IF(AND(ISNUMBER(E37),E37&gt;0),ROUND((N(H37)+N(I37)+N(J37)+N(K37))/E37*100,1),"")</f>
        <v/>
      </c>
    </row>
    <row r="38">
      <c r="M38">
        <f>IF(ISNUMBER(E38),E38-N(G38)+N(H38)+N(I38)+N(J38)+N(K38),"")</f>
        <v/>
      </c>
      <c r="N38">
        <f>IF(AND(ISNUMBER(L38),ISNUMBER(M38)),ROUND(L38-M38,2),"")</f>
        <v/>
      </c>
      <c r="O38">
        <f>IF(AND(ISNUMBER(E38),E38&gt;0),ROUND((N(H38)+N(I38)+N(J38)+N(K38))/E38*100,1),"")</f>
        <v/>
      </c>
    </row>
    <row r="39">
      <c r="M39">
        <f>IF(ISNUMBER(E39),E39-N(G39)+N(H39)+N(I39)+N(J39)+N(K39),"")</f>
        <v/>
      </c>
      <c r="N39">
        <f>IF(AND(ISNUMBER(L39),ISNUMBER(M39)),ROUND(L39-M39,2),"")</f>
        <v/>
      </c>
      <c r="O39">
        <f>IF(AND(ISNUMBER(E39),E39&gt;0),ROUND((N(H39)+N(I39)+N(J39)+N(K39))/E39*100,1),"")</f>
        <v/>
      </c>
    </row>
    <row r="40">
      <c r="M40">
        <f>IF(ISNUMBER(E40),E40-N(G40)+N(H40)+N(I40)+N(J40)+N(K40),"")</f>
        <v/>
      </c>
      <c r="N40">
        <f>IF(AND(ISNUMBER(L40),ISNUMBER(M40)),ROUND(L40-M40,2),"")</f>
        <v/>
      </c>
      <c r="O40">
        <f>IF(AND(ISNUMBER(E40),E40&gt;0),ROUND((N(H40)+N(I40)+N(J40)+N(K40))/E40*100,1),"")</f>
        <v/>
      </c>
    </row>
    <row r="41">
      <c r="M41">
        <f>IF(ISNUMBER(E41),E41-N(G41)+N(H41)+N(I41)+N(J41)+N(K41),"")</f>
        <v/>
      </c>
      <c r="N41">
        <f>IF(AND(ISNUMBER(L41),ISNUMBER(M41)),ROUND(L41-M41,2),"")</f>
        <v/>
      </c>
      <c r="O41">
        <f>IF(AND(ISNUMBER(E41),E41&gt;0),ROUND((N(H41)+N(I41)+N(J41)+N(K41))/E41*100,1),"")</f>
        <v/>
      </c>
    </row>
    <row r="42">
      <c r="M42">
        <f>IF(ISNUMBER(E42),E42-N(G42)+N(H42)+N(I42)+N(J42)+N(K42),"")</f>
        <v/>
      </c>
      <c r="N42">
        <f>IF(AND(ISNUMBER(L42),ISNUMBER(M42)),ROUND(L42-M42,2),"")</f>
        <v/>
      </c>
      <c r="O42">
        <f>IF(AND(ISNUMBER(E42),E42&gt;0),ROUND((N(H42)+N(I42)+N(J42)+N(K42))/E42*100,1),"")</f>
        <v/>
      </c>
    </row>
    <row r="43">
      <c r="M43">
        <f>IF(ISNUMBER(E43),E43-N(G43)+N(H43)+N(I43)+N(J43)+N(K43),"")</f>
        <v/>
      </c>
      <c r="N43">
        <f>IF(AND(ISNUMBER(L43),ISNUMBER(M43)),ROUND(L43-M43,2),"")</f>
        <v/>
      </c>
      <c r="O43">
        <f>IF(AND(ISNUMBER(E43),E43&gt;0),ROUND((N(H43)+N(I43)+N(J43)+N(K43))/E43*100,1),"")</f>
        <v/>
      </c>
    </row>
    <row r="44">
      <c r="M44">
        <f>IF(ISNUMBER(E44),E44-N(G44)+N(H44)+N(I44)+N(J44)+N(K44),"")</f>
        <v/>
      </c>
      <c r="N44">
        <f>IF(AND(ISNUMBER(L44),ISNUMBER(M44)),ROUND(L44-M44,2),"")</f>
        <v/>
      </c>
      <c r="O44">
        <f>IF(AND(ISNUMBER(E44),E44&gt;0),ROUND((N(H44)+N(I44)+N(J44)+N(K44))/E44*100,1),"")</f>
        <v/>
      </c>
    </row>
    <row r="45">
      <c r="M45">
        <f>IF(ISNUMBER(E45),E45-N(G45)+N(H45)+N(I45)+N(J45)+N(K45),"")</f>
        <v/>
      </c>
      <c r="N45">
        <f>IF(AND(ISNUMBER(L45),ISNUMBER(M45)),ROUND(L45-M45,2),"")</f>
        <v/>
      </c>
      <c r="O45">
        <f>IF(AND(ISNUMBER(E45),E45&gt;0),ROUND((N(H45)+N(I45)+N(J45)+N(K45))/E45*100,1),"")</f>
        <v/>
      </c>
    </row>
    <row r="46">
      <c r="M46">
        <f>IF(ISNUMBER(E46),E46-N(G46)+N(H46)+N(I46)+N(J46)+N(K46),"")</f>
        <v/>
      </c>
      <c r="N46">
        <f>IF(AND(ISNUMBER(L46),ISNUMBER(M46)),ROUND(L46-M46,2),"")</f>
        <v/>
      </c>
      <c r="O46">
        <f>IF(AND(ISNUMBER(E46),E46&gt;0),ROUND((N(H46)+N(I46)+N(J46)+N(K46))/E46*100,1),"")</f>
        <v/>
      </c>
    </row>
    <row r="47">
      <c r="M47">
        <f>IF(ISNUMBER(E47),E47-N(G47)+N(H47)+N(I47)+N(J47)+N(K47),"")</f>
        <v/>
      </c>
      <c r="N47">
        <f>IF(AND(ISNUMBER(L47),ISNUMBER(M47)),ROUND(L47-M47,2),"")</f>
        <v/>
      </c>
      <c r="O47">
        <f>IF(AND(ISNUMBER(E47),E47&gt;0),ROUND((N(H47)+N(I47)+N(J47)+N(K47))/E47*100,1),"")</f>
        <v/>
      </c>
    </row>
    <row r="48">
      <c r="M48">
        <f>IF(ISNUMBER(E48),E48-N(G48)+N(H48)+N(I48)+N(J48)+N(K48),"")</f>
        <v/>
      </c>
      <c r="N48">
        <f>IF(AND(ISNUMBER(L48),ISNUMBER(M48)),ROUND(L48-M48,2),"")</f>
        <v/>
      </c>
      <c r="O48">
        <f>IF(AND(ISNUMBER(E48),E48&gt;0),ROUND((N(H48)+N(I48)+N(J48)+N(K48))/E48*100,1),"")</f>
        <v/>
      </c>
    </row>
    <row r="49">
      <c r="M49">
        <f>IF(ISNUMBER(E49),E49-N(G49)+N(H49)+N(I49)+N(J49)+N(K49),"")</f>
        <v/>
      </c>
      <c r="N49">
        <f>IF(AND(ISNUMBER(L49),ISNUMBER(M49)),ROUND(L49-M49,2),"")</f>
        <v/>
      </c>
      <c r="O49">
        <f>IF(AND(ISNUMBER(E49),E49&gt;0),ROUND((N(H49)+N(I49)+N(J49)+N(K49))/E49*100,1),"")</f>
        <v/>
      </c>
    </row>
    <row r="50">
      <c r="M50">
        <f>IF(ISNUMBER(E50),E50-N(G50)+N(H50)+N(I50)+N(J50)+N(K50),"")</f>
        <v/>
      </c>
      <c r="N50">
        <f>IF(AND(ISNUMBER(L50),ISNUMBER(M50)),ROUND(L50-M50,2),"")</f>
        <v/>
      </c>
      <c r="O50">
        <f>IF(AND(ISNUMBER(E50),E50&gt;0),ROUND((N(H50)+N(I50)+N(J50)+N(K50))/E50*100,1),"")</f>
        <v/>
      </c>
    </row>
    <row r="51">
      <c r="M51">
        <f>IF(ISNUMBER(E51),E51-N(G51)+N(H51)+N(I51)+N(J51)+N(K51),"")</f>
        <v/>
      </c>
      <c r="N51">
        <f>IF(AND(ISNUMBER(L51),ISNUMBER(M51)),ROUND(L51-M51,2),"")</f>
        <v/>
      </c>
      <c r="O51">
        <f>IF(AND(ISNUMBER(E51),E51&gt;0),ROUND((N(H51)+N(I51)+N(J51)+N(K51))/E51*100,1),"")</f>
        <v/>
      </c>
    </row>
    <row r="52">
      <c r="M52">
        <f>IF(ISNUMBER(E52),E52-N(G52)+N(H52)+N(I52)+N(J52)+N(K52),"")</f>
        <v/>
      </c>
      <c r="N52">
        <f>IF(AND(ISNUMBER(L52),ISNUMBER(M52)),ROUND(L52-M52,2),"")</f>
        <v/>
      </c>
      <c r="O52">
        <f>IF(AND(ISNUMBER(E52),E52&gt;0),ROUND((N(H52)+N(I52)+N(J52)+N(K52))/E52*100,1),"")</f>
        <v/>
      </c>
    </row>
    <row r="53">
      <c r="M53">
        <f>IF(ISNUMBER(E53),E53-N(G53)+N(H53)+N(I53)+N(J53)+N(K53),"")</f>
        <v/>
      </c>
      <c r="N53">
        <f>IF(AND(ISNUMBER(L53),ISNUMBER(M53)),ROUND(L53-M53,2),"")</f>
        <v/>
      </c>
      <c r="O53">
        <f>IF(AND(ISNUMBER(E53),E53&gt;0),ROUND((N(H53)+N(I53)+N(J53)+N(K53))/E53*100,1),"")</f>
        <v/>
      </c>
    </row>
    <row r="54">
      <c r="M54">
        <f>IF(ISNUMBER(E54),E54-N(G54)+N(H54)+N(I54)+N(J54)+N(K54),"")</f>
        <v/>
      </c>
      <c r="N54">
        <f>IF(AND(ISNUMBER(L54),ISNUMBER(M54)),ROUND(L54-M54,2),"")</f>
        <v/>
      </c>
      <c r="O54">
        <f>IF(AND(ISNUMBER(E54),E54&gt;0),ROUND((N(H54)+N(I54)+N(J54)+N(K54))/E54*100,1),"")</f>
        <v/>
      </c>
    </row>
    <row r="55">
      <c r="M55">
        <f>IF(ISNUMBER(E55),E55-N(G55)+N(H55)+N(I55)+N(J55)+N(K55),"")</f>
        <v/>
      </c>
      <c r="N55">
        <f>IF(AND(ISNUMBER(L55),ISNUMBER(M55)),ROUND(L55-M55,2),"")</f>
        <v/>
      </c>
      <c r="O55">
        <f>IF(AND(ISNUMBER(E55),E55&gt;0),ROUND((N(H55)+N(I55)+N(J55)+N(K55))/E55*100,1),"")</f>
        <v/>
      </c>
    </row>
    <row r="56">
      <c r="M56">
        <f>IF(ISNUMBER(E56),E56-N(G56)+N(H56)+N(I56)+N(J56)+N(K56),"")</f>
        <v/>
      </c>
      <c r="N56">
        <f>IF(AND(ISNUMBER(L56),ISNUMBER(M56)),ROUND(L56-M56,2),"")</f>
        <v/>
      </c>
      <c r="O56">
        <f>IF(AND(ISNUMBER(E56),E56&gt;0),ROUND((N(H56)+N(I56)+N(J56)+N(K56))/E56*100,1),"")</f>
        <v/>
      </c>
    </row>
    <row r="57">
      <c r="M57">
        <f>IF(ISNUMBER(E57),E57-N(G57)+N(H57)+N(I57)+N(J57)+N(K57),"")</f>
        <v/>
      </c>
      <c r="N57">
        <f>IF(AND(ISNUMBER(L57),ISNUMBER(M57)),ROUND(L57-M57,2),"")</f>
        <v/>
      </c>
      <c r="O57">
        <f>IF(AND(ISNUMBER(E57),E57&gt;0),ROUND((N(H57)+N(I57)+N(J57)+N(K57))/E57*100,1),"")</f>
        <v/>
      </c>
    </row>
    <row r="58">
      <c r="M58">
        <f>IF(ISNUMBER(E58),E58-N(G58)+N(H58)+N(I58)+N(J58)+N(K58),"")</f>
        <v/>
      </c>
      <c r="N58">
        <f>IF(AND(ISNUMBER(L58),ISNUMBER(M58)),ROUND(L58-M58,2),"")</f>
        <v/>
      </c>
      <c r="O58">
        <f>IF(AND(ISNUMBER(E58),E58&gt;0),ROUND((N(H58)+N(I58)+N(J58)+N(K58))/E58*100,1),"")</f>
        <v/>
      </c>
    </row>
    <row r="59">
      <c r="M59">
        <f>IF(ISNUMBER(E59),E59-N(G59)+N(H59)+N(I59)+N(J59)+N(K59),"")</f>
        <v/>
      </c>
      <c r="N59">
        <f>IF(AND(ISNUMBER(L59),ISNUMBER(M59)),ROUND(L59-M59,2),"")</f>
        <v/>
      </c>
      <c r="O59">
        <f>IF(AND(ISNUMBER(E59),E59&gt;0),ROUND((N(H59)+N(I59)+N(J59)+N(K59))/E59*100,1),"")</f>
        <v/>
      </c>
    </row>
    <row r="60">
      <c r="M60">
        <f>IF(ISNUMBER(E60),E60-N(G60)+N(H60)+N(I60)+N(J60)+N(K60),"")</f>
        <v/>
      </c>
      <c r="N60">
        <f>IF(AND(ISNUMBER(L60),ISNUMBER(M60)),ROUND(L60-M60,2),"")</f>
        <v/>
      </c>
      <c r="O60">
        <f>IF(AND(ISNUMBER(E60),E60&gt;0),ROUND((N(H60)+N(I60)+N(J60)+N(K60))/E60*100,1),"")</f>
        <v/>
      </c>
    </row>
    <row r="61">
      <c r="M61">
        <f>IF(ISNUMBER(E61),E61-N(G61)+N(H61)+N(I61)+N(J61)+N(K61),"")</f>
        <v/>
      </c>
      <c r="N61">
        <f>IF(AND(ISNUMBER(L61),ISNUMBER(M61)),ROUND(L61-M61,2),"")</f>
        <v/>
      </c>
      <c r="O61">
        <f>IF(AND(ISNUMBER(E61),E61&gt;0),ROUND((N(H61)+N(I61)+N(J61)+N(K61))/E61*100,1),"")</f>
        <v/>
      </c>
    </row>
    <row r="62">
      <c r="M62">
        <f>IF(ISNUMBER(E62),E62-N(G62)+N(H62)+N(I62)+N(J62)+N(K62),"")</f>
        <v/>
      </c>
      <c r="N62">
        <f>IF(AND(ISNUMBER(L62),ISNUMBER(M62)),ROUND(L62-M62,2),"")</f>
        <v/>
      </c>
      <c r="O62">
        <f>IF(AND(ISNUMBER(E62),E62&gt;0),ROUND((N(H62)+N(I62)+N(J62)+N(K62))/E62*100,1),"")</f>
        <v/>
      </c>
    </row>
    <row r="63">
      <c r="M63">
        <f>IF(ISNUMBER(E63),E63-N(G63)+N(H63)+N(I63)+N(J63)+N(K63),"")</f>
        <v/>
      </c>
      <c r="N63">
        <f>IF(AND(ISNUMBER(L63),ISNUMBER(M63)),ROUND(L63-M63,2),"")</f>
        <v/>
      </c>
      <c r="O63">
        <f>IF(AND(ISNUMBER(E63),E63&gt;0),ROUND((N(H63)+N(I63)+N(J63)+N(K63))/E63*100,1),"")</f>
        <v/>
      </c>
    </row>
    <row r="64">
      <c r="M64">
        <f>IF(ISNUMBER(E64),E64-N(G64)+N(H64)+N(I64)+N(J64)+N(K64),"")</f>
        <v/>
      </c>
      <c r="N64">
        <f>IF(AND(ISNUMBER(L64),ISNUMBER(M64)),ROUND(L64-M64,2),"")</f>
        <v/>
      </c>
      <c r="O64">
        <f>IF(AND(ISNUMBER(E64),E64&gt;0),ROUND((N(H64)+N(I64)+N(J64)+N(K64))/E64*100,1),"")</f>
        <v/>
      </c>
    </row>
    <row r="65">
      <c r="M65">
        <f>IF(ISNUMBER(E65),E65-N(G65)+N(H65)+N(I65)+N(J65)+N(K65),"")</f>
        <v/>
      </c>
      <c r="N65">
        <f>IF(AND(ISNUMBER(L65),ISNUMBER(M65)),ROUND(L65-M65,2),"")</f>
        <v/>
      </c>
      <c r="O65">
        <f>IF(AND(ISNUMBER(E65),E65&gt;0),ROUND((N(H65)+N(I65)+N(J65)+N(K65))/E65*100,1),"")</f>
        <v/>
      </c>
    </row>
    <row r="66">
      <c r="M66">
        <f>IF(ISNUMBER(E66),E66-N(G66)+N(H66)+N(I66)+N(J66)+N(K66),"")</f>
        <v/>
      </c>
      <c r="N66">
        <f>IF(AND(ISNUMBER(L66),ISNUMBER(M66)),ROUND(L66-M66,2),"")</f>
        <v/>
      </c>
      <c r="O66">
        <f>IF(AND(ISNUMBER(E66),E66&gt;0),ROUND((N(H66)+N(I66)+N(J66)+N(K66))/E66*100,1),"")</f>
        <v/>
      </c>
    </row>
    <row r="67">
      <c r="M67">
        <f>IF(ISNUMBER(E67),E67-N(G67)+N(H67)+N(I67)+N(J67)+N(K67),"")</f>
        <v/>
      </c>
      <c r="N67">
        <f>IF(AND(ISNUMBER(L67),ISNUMBER(M67)),ROUND(L67-M67,2),"")</f>
        <v/>
      </c>
      <c r="O67">
        <f>IF(AND(ISNUMBER(E67),E67&gt;0),ROUND((N(H67)+N(I67)+N(J67)+N(K67))/E67*100,1),"")</f>
        <v/>
      </c>
    </row>
    <row r="68">
      <c r="M68">
        <f>IF(ISNUMBER(E68),E68-N(G68)+N(H68)+N(I68)+N(J68)+N(K68),"")</f>
        <v/>
      </c>
      <c r="N68">
        <f>IF(AND(ISNUMBER(L68),ISNUMBER(M68)),ROUND(L68-M68,2),"")</f>
        <v/>
      </c>
      <c r="O68">
        <f>IF(AND(ISNUMBER(E68),E68&gt;0),ROUND((N(H68)+N(I68)+N(J68)+N(K68))/E68*100,1),"")</f>
        <v/>
      </c>
    </row>
    <row r="69">
      <c r="M69">
        <f>IF(ISNUMBER(E69),E69-N(G69)+N(H69)+N(I69)+N(J69)+N(K69),"")</f>
        <v/>
      </c>
      <c r="N69">
        <f>IF(AND(ISNUMBER(L69),ISNUMBER(M69)),ROUND(L69-M69,2),"")</f>
        <v/>
      </c>
      <c r="O69">
        <f>IF(AND(ISNUMBER(E69),E69&gt;0),ROUND((N(H69)+N(I69)+N(J69)+N(K69))/E69*100,1),"")</f>
        <v/>
      </c>
    </row>
    <row r="70">
      <c r="M70">
        <f>IF(ISNUMBER(E70),E70-N(G70)+N(H70)+N(I70)+N(J70)+N(K70),"")</f>
        <v/>
      </c>
      <c r="N70">
        <f>IF(AND(ISNUMBER(L70),ISNUMBER(M70)),ROUND(L70-M70,2),"")</f>
        <v/>
      </c>
      <c r="O70">
        <f>IF(AND(ISNUMBER(E70),E70&gt;0),ROUND((N(H70)+N(I70)+N(J70)+N(K70))/E70*100,1),"")</f>
        <v/>
      </c>
    </row>
    <row r="71">
      <c r="M71">
        <f>IF(ISNUMBER(E71),E71-N(G71)+N(H71)+N(I71)+N(J71)+N(K71),"")</f>
        <v/>
      </c>
      <c r="N71">
        <f>IF(AND(ISNUMBER(L71),ISNUMBER(M71)),ROUND(L71-M71,2),"")</f>
        <v/>
      </c>
      <c r="O71">
        <f>IF(AND(ISNUMBER(E71),E71&gt;0),ROUND((N(H71)+N(I71)+N(J71)+N(K71))/E71*100,1),"")</f>
        <v/>
      </c>
    </row>
    <row r="72">
      <c r="M72">
        <f>IF(ISNUMBER(E72),E72-N(G72)+N(H72)+N(I72)+N(J72)+N(K72),"")</f>
        <v/>
      </c>
      <c r="N72">
        <f>IF(AND(ISNUMBER(L72),ISNUMBER(M72)),ROUND(L72-M72,2),"")</f>
        <v/>
      </c>
      <c r="O72">
        <f>IF(AND(ISNUMBER(E72),E72&gt;0),ROUND((N(H72)+N(I72)+N(J72)+N(K72))/E72*100,1),"")</f>
        <v/>
      </c>
    </row>
    <row r="73">
      <c r="M73">
        <f>IF(ISNUMBER(E73),E73-N(G73)+N(H73)+N(I73)+N(J73)+N(K73),"")</f>
        <v/>
      </c>
      <c r="N73">
        <f>IF(AND(ISNUMBER(L73),ISNUMBER(M73)),ROUND(L73-M73,2),"")</f>
        <v/>
      </c>
      <c r="O73">
        <f>IF(AND(ISNUMBER(E73),E73&gt;0),ROUND((N(H73)+N(I73)+N(J73)+N(K73))/E73*100,1),"")</f>
        <v/>
      </c>
    </row>
    <row r="74">
      <c r="M74">
        <f>IF(ISNUMBER(E74),E74-N(G74)+N(H74)+N(I74)+N(J74)+N(K74),"")</f>
        <v/>
      </c>
      <c r="N74">
        <f>IF(AND(ISNUMBER(L74),ISNUMBER(M74)),ROUND(L74-M74,2),"")</f>
        <v/>
      </c>
      <c r="O74">
        <f>IF(AND(ISNUMBER(E74),E74&gt;0),ROUND((N(H74)+N(I74)+N(J74)+N(K74))/E74*100,1),"")</f>
        <v/>
      </c>
    </row>
    <row r="75">
      <c r="M75">
        <f>IF(ISNUMBER(E75),E75-N(G75)+N(H75)+N(I75)+N(J75)+N(K75),"")</f>
        <v/>
      </c>
      <c r="N75">
        <f>IF(AND(ISNUMBER(L75),ISNUMBER(M75)),ROUND(L75-M75,2),"")</f>
        <v/>
      </c>
      <c r="O75">
        <f>IF(AND(ISNUMBER(E75),E75&gt;0),ROUND((N(H75)+N(I75)+N(J75)+N(K75))/E75*100,1),"")</f>
        <v/>
      </c>
    </row>
    <row r="76">
      <c r="M76">
        <f>IF(ISNUMBER(E76),E76-N(G76)+N(H76)+N(I76)+N(J76)+N(K76),"")</f>
        <v/>
      </c>
      <c r="N76">
        <f>IF(AND(ISNUMBER(L76),ISNUMBER(M76)),ROUND(L76-M76,2),"")</f>
        <v/>
      </c>
      <c r="O76">
        <f>IF(AND(ISNUMBER(E76),E76&gt;0),ROUND((N(H76)+N(I76)+N(J76)+N(K76))/E76*100,1),"")</f>
        <v/>
      </c>
    </row>
    <row r="77">
      <c r="M77">
        <f>IF(ISNUMBER(E77),E77-N(G77)+N(H77)+N(I77)+N(J77)+N(K77),"")</f>
        <v/>
      </c>
      <c r="N77">
        <f>IF(AND(ISNUMBER(L77),ISNUMBER(M77)),ROUND(L77-M77,2),"")</f>
        <v/>
      </c>
      <c r="O77">
        <f>IF(AND(ISNUMBER(E77),E77&gt;0),ROUND((N(H77)+N(I77)+N(J77)+N(K77))/E77*100,1),"")</f>
        <v/>
      </c>
    </row>
    <row r="78">
      <c r="M78">
        <f>IF(ISNUMBER(E78),E78-N(G78)+N(H78)+N(I78)+N(J78)+N(K78),"")</f>
        <v/>
      </c>
      <c r="N78">
        <f>IF(AND(ISNUMBER(L78),ISNUMBER(M78)),ROUND(L78-M78,2),"")</f>
        <v/>
      </c>
      <c r="O78">
        <f>IF(AND(ISNUMBER(E78),E78&gt;0),ROUND((N(H78)+N(I78)+N(J78)+N(K78))/E78*100,1),"")</f>
        <v/>
      </c>
    </row>
    <row r="79">
      <c r="M79">
        <f>IF(ISNUMBER(E79),E79-N(G79)+N(H79)+N(I79)+N(J79)+N(K79),"")</f>
        <v/>
      </c>
      <c r="N79">
        <f>IF(AND(ISNUMBER(L79),ISNUMBER(M79)),ROUND(L79-M79,2),"")</f>
        <v/>
      </c>
      <c r="O79">
        <f>IF(AND(ISNUMBER(E79),E79&gt;0),ROUND((N(H79)+N(I79)+N(J79)+N(K79))/E79*100,1),"")</f>
        <v/>
      </c>
    </row>
    <row r="80">
      <c r="M80">
        <f>IF(ISNUMBER(E80),E80-N(G80)+N(H80)+N(I80)+N(J80)+N(K80),"")</f>
        <v/>
      </c>
      <c r="N80">
        <f>IF(AND(ISNUMBER(L80),ISNUMBER(M80)),ROUND(L80-M80,2),"")</f>
        <v/>
      </c>
      <c r="O80">
        <f>IF(AND(ISNUMBER(E80),E80&gt;0),ROUND((N(H80)+N(I80)+N(J80)+N(K80))/E80*100,1),"")</f>
        <v/>
      </c>
    </row>
    <row r="81">
      <c r="M81">
        <f>IF(ISNUMBER(E81),E81-N(G81)+N(H81)+N(I81)+N(J81)+N(K81),"")</f>
        <v/>
      </c>
      <c r="N81">
        <f>IF(AND(ISNUMBER(L81),ISNUMBER(M81)),ROUND(L81-M81,2),"")</f>
        <v/>
      </c>
      <c r="O81">
        <f>IF(AND(ISNUMBER(E81),E81&gt;0),ROUND((N(H81)+N(I81)+N(J81)+N(K81))/E81*100,1),"")</f>
        <v/>
      </c>
    </row>
    <row r="82">
      <c r="M82">
        <f>IF(ISNUMBER(E82),E82-N(G82)+N(H82)+N(I82)+N(J82)+N(K82),"")</f>
        <v/>
      </c>
      <c r="N82">
        <f>IF(AND(ISNUMBER(L82),ISNUMBER(M82)),ROUND(L82-M82,2),"")</f>
        <v/>
      </c>
      <c r="O82">
        <f>IF(AND(ISNUMBER(E82),E82&gt;0),ROUND((N(H82)+N(I82)+N(J82)+N(K82))/E82*100,1),"")</f>
        <v/>
      </c>
    </row>
    <row r="83">
      <c r="M83">
        <f>IF(ISNUMBER(E83),E83-N(G83)+N(H83)+N(I83)+N(J83)+N(K83),"")</f>
        <v/>
      </c>
      <c r="N83">
        <f>IF(AND(ISNUMBER(L83),ISNUMBER(M83)),ROUND(L83-M83,2),"")</f>
        <v/>
      </c>
      <c r="O83">
        <f>IF(AND(ISNUMBER(E83),E83&gt;0),ROUND((N(H83)+N(I83)+N(J83)+N(K83))/E83*100,1),"")</f>
        <v/>
      </c>
    </row>
    <row r="84">
      <c r="M84">
        <f>IF(ISNUMBER(E84),E84-N(G84)+N(H84)+N(I84)+N(J84)+N(K84),"")</f>
        <v/>
      </c>
      <c r="N84">
        <f>IF(AND(ISNUMBER(L84),ISNUMBER(M84)),ROUND(L84-M84,2),"")</f>
        <v/>
      </c>
      <c r="O84">
        <f>IF(AND(ISNUMBER(E84),E84&gt;0),ROUND((N(H84)+N(I84)+N(J84)+N(K84))/E84*100,1),"")</f>
        <v/>
      </c>
    </row>
    <row r="85">
      <c r="M85">
        <f>IF(ISNUMBER(E85),E85-N(G85)+N(H85)+N(I85)+N(J85)+N(K85),"")</f>
        <v/>
      </c>
      <c r="N85">
        <f>IF(AND(ISNUMBER(L85),ISNUMBER(M85)),ROUND(L85-M85,2),"")</f>
        <v/>
      </c>
      <c r="O85">
        <f>IF(AND(ISNUMBER(E85),E85&gt;0),ROUND((N(H85)+N(I85)+N(J85)+N(K85))/E85*100,1),"")</f>
        <v/>
      </c>
    </row>
    <row r="86">
      <c r="M86">
        <f>IF(ISNUMBER(E86),E86-N(G86)+N(H86)+N(I86)+N(J86)+N(K86),"")</f>
        <v/>
      </c>
      <c r="N86">
        <f>IF(AND(ISNUMBER(L86),ISNUMBER(M86)),ROUND(L86-M86,2),"")</f>
        <v/>
      </c>
      <c r="O86">
        <f>IF(AND(ISNUMBER(E86),E86&gt;0),ROUND((N(H86)+N(I86)+N(J86)+N(K86))/E86*100,1),"")</f>
        <v/>
      </c>
    </row>
    <row r="87">
      <c r="M87">
        <f>IF(ISNUMBER(E87),E87-N(G87)+N(H87)+N(I87)+N(J87)+N(K87),"")</f>
        <v/>
      </c>
      <c r="N87">
        <f>IF(AND(ISNUMBER(L87),ISNUMBER(M87)),ROUND(L87-M87,2),"")</f>
        <v/>
      </c>
      <c r="O87">
        <f>IF(AND(ISNUMBER(E87),E87&gt;0),ROUND((N(H87)+N(I87)+N(J87)+N(K87))/E87*100,1),"")</f>
        <v/>
      </c>
    </row>
    <row r="88">
      <c r="M88">
        <f>IF(ISNUMBER(E88),E88-N(G88)+N(H88)+N(I88)+N(J88)+N(K88),"")</f>
        <v/>
      </c>
      <c r="N88">
        <f>IF(AND(ISNUMBER(L88),ISNUMBER(M88)),ROUND(L88-M88,2),"")</f>
        <v/>
      </c>
      <c r="O88">
        <f>IF(AND(ISNUMBER(E88),E88&gt;0),ROUND((N(H88)+N(I88)+N(J88)+N(K88))/E88*100,1),"")</f>
        <v/>
      </c>
    </row>
    <row r="89">
      <c r="M89">
        <f>IF(ISNUMBER(E89),E89-N(G89)+N(H89)+N(I89)+N(J89)+N(K89),"")</f>
        <v/>
      </c>
      <c r="N89">
        <f>IF(AND(ISNUMBER(L89),ISNUMBER(M89)),ROUND(L89-M89,2),"")</f>
        <v/>
      </c>
      <c r="O89">
        <f>IF(AND(ISNUMBER(E89),E89&gt;0),ROUND((N(H89)+N(I89)+N(J89)+N(K89))/E89*100,1),"")</f>
        <v/>
      </c>
    </row>
    <row r="90">
      <c r="M90">
        <f>IF(ISNUMBER(E90),E90-N(G90)+N(H90)+N(I90)+N(J90)+N(K90),"")</f>
        <v/>
      </c>
      <c r="N90">
        <f>IF(AND(ISNUMBER(L90),ISNUMBER(M90)),ROUND(L90-M90,2),"")</f>
        <v/>
      </c>
      <c r="O90">
        <f>IF(AND(ISNUMBER(E90),E90&gt;0),ROUND((N(H90)+N(I90)+N(J90)+N(K90))/E90*100,1),"")</f>
        <v/>
      </c>
    </row>
    <row r="91">
      <c r="M91">
        <f>IF(ISNUMBER(E91),E91-N(G91)+N(H91)+N(I91)+N(J91)+N(K91),"")</f>
        <v/>
      </c>
      <c r="N91">
        <f>IF(AND(ISNUMBER(L91),ISNUMBER(M91)),ROUND(L91-M91,2),"")</f>
        <v/>
      </c>
      <c r="O91">
        <f>IF(AND(ISNUMBER(E91),E91&gt;0),ROUND((N(H91)+N(I91)+N(J91)+N(K91))/E91*100,1),"")</f>
        <v/>
      </c>
    </row>
    <row r="92">
      <c r="M92">
        <f>IF(ISNUMBER(E92),E92-N(G92)+N(H92)+N(I92)+N(J92)+N(K92),"")</f>
        <v/>
      </c>
      <c r="N92">
        <f>IF(AND(ISNUMBER(L92),ISNUMBER(M92)),ROUND(L92-M92,2),"")</f>
        <v/>
      </c>
      <c r="O92">
        <f>IF(AND(ISNUMBER(E92),E92&gt;0),ROUND((N(H92)+N(I92)+N(J92)+N(K92))/E92*100,1),"")</f>
        <v/>
      </c>
    </row>
    <row r="93">
      <c r="M93">
        <f>IF(ISNUMBER(E93),E93-N(G93)+N(H93)+N(I93)+N(J93)+N(K93),"")</f>
        <v/>
      </c>
      <c r="N93">
        <f>IF(AND(ISNUMBER(L93),ISNUMBER(M93)),ROUND(L93-M93,2),"")</f>
        <v/>
      </c>
      <c r="O93">
        <f>IF(AND(ISNUMBER(E93),E93&gt;0),ROUND((N(H93)+N(I93)+N(J93)+N(K93))/E93*100,1),"")</f>
        <v/>
      </c>
    </row>
    <row r="94">
      <c r="M94">
        <f>IF(ISNUMBER(E94),E94-N(G94)+N(H94)+N(I94)+N(J94)+N(K94),"")</f>
        <v/>
      </c>
      <c r="N94">
        <f>IF(AND(ISNUMBER(L94),ISNUMBER(M94)),ROUND(L94-M94,2),"")</f>
        <v/>
      </c>
      <c r="O94">
        <f>IF(AND(ISNUMBER(E94),E94&gt;0),ROUND((N(H94)+N(I94)+N(J94)+N(K94))/E94*100,1),"")</f>
        <v/>
      </c>
    </row>
    <row r="95">
      <c r="M95">
        <f>IF(ISNUMBER(E95),E95-N(G95)+N(H95)+N(I95)+N(J95)+N(K95),"")</f>
        <v/>
      </c>
      <c r="N95">
        <f>IF(AND(ISNUMBER(L95),ISNUMBER(M95)),ROUND(L95-M95,2),"")</f>
        <v/>
      </c>
      <c r="O95">
        <f>IF(AND(ISNUMBER(E95),E95&gt;0),ROUND((N(H95)+N(I95)+N(J95)+N(K95))/E95*100,1),"")</f>
        <v/>
      </c>
    </row>
    <row r="96">
      <c r="M96">
        <f>IF(ISNUMBER(E96),E96-N(G96)+N(H96)+N(I96)+N(J96)+N(K96),"")</f>
        <v/>
      </c>
      <c r="N96">
        <f>IF(AND(ISNUMBER(L96),ISNUMBER(M96)),ROUND(L96-M96,2),"")</f>
        <v/>
      </c>
      <c r="O96">
        <f>IF(AND(ISNUMBER(E96),E96&gt;0),ROUND((N(H96)+N(I96)+N(J96)+N(K96))/E96*100,1),"")</f>
        <v/>
      </c>
    </row>
    <row r="97">
      <c r="M97">
        <f>IF(ISNUMBER(E97),E97-N(G97)+N(H97)+N(I97)+N(J97)+N(K97),"")</f>
        <v/>
      </c>
      <c r="N97">
        <f>IF(AND(ISNUMBER(L97),ISNUMBER(M97)),ROUND(L97-M97,2),"")</f>
        <v/>
      </c>
      <c r="O97">
        <f>IF(AND(ISNUMBER(E97),E97&gt;0),ROUND((N(H97)+N(I97)+N(J97)+N(K97))/E97*100,1),"")</f>
        <v/>
      </c>
    </row>
    <row r="98">
      <c r="M98">
        <f>IF(ISNUMBER(E98),E98-N(G98)+N(H98)+N(I98)+N(J98)+N(K98),"")</f>
        <v/>
      </c>
      <c r="N98">
        <f>IF(AND(ISNUMBER(L98),ISNUMBER(M98)),ROUND(L98-M98,2),"")</f>
        <v/>
      </c>
      <c r="O98">
        <f>IF(AND(ISNUMBER(E98),E98&gt;0),ROUND((N(H98)+N(I98)+N(J98)+N(K98))/E98*100,1),"")</f>
        <v/>
      </c>
    </row>
    <row r="99">
      <c r="M99">
        <f>IF(ISNUMBER(E99),E99-N(G99)+N(H99)+N(I99)+N(J99)+N(K99),"")</f>
        <v/>
      </c>
      <c r="N99">
        <f>IF(AND(ISNUMBER(L99),ISNUMBER(M99)),ROUND(L99-M99,2),"")</f>
        <v/>
      </c>
      <c r="O99">
        <f>IF(AND(ISNUMBER(E99),E99&gt;0),ROUND((N(H99)+N(I99)+N(J99)+N(K99))/E99*100,1),"")</f>
        <v/>
      </c>
    </row>
    <row r="100">
      <c r="M100">
        <f>IF(ISNUMBER(E100),E100-N(G100)+N(H100)+N(I100)+N(J100)+N(K100),"")</f>
        <v/>
      </c>
      <c r="N100">
        <f>IF(AND(ISNUMBER(L100),ISNUMBER(M100)),ROUND(L100-M100,2),"")</f>
        <v/>
      </c>
      <c r="O100">
        <f>IF(AND(ISNUMBER(E100),E100&gt;0),ROUND((N(H100)+N(I100)+N(J100)+N(K100))/E100*100,1),"")</f>
        <v/>
      </c>
    </row>
  </sheetData>
  <dataValidations count="1">
    <dataValidation sqref="R5:R100" showDropDown="0" showInputMessage="0" showErrorMessage="0" allowBlank="1" type="list">
      <formula1>"medicines,otc,wellness,mixed"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7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Promotions</t>
        </is>
      </c>
    </row>
    <row r="2">
      <c r="A2" s="2" t="inlineStr">
        <is>
          <t>Offers visible to an ordinary customer.</t>
        </is>
      </c>
    </row>
    <row r="4">
      <c r="A4" s="3" t="inlineStr">
        <is>
          <t>Promo</t>
        </is>
      </c>
      <c r="B4" s="3" t="inlineStr">
        <is>
          <t>Type</t>
        </is>
      </c>
      <c r="C4" s="3" t="inlineStr">
        <is>
          <t>Code (if public)</t>
        </is>
      </c>
      <c r="D4" s="3" t="inlineStr">
        <is>
          <t>Discount rule</t>
        </is>
      </c>
      <c r="E4" s="3" t="inlineStr">
        <is>
          <t>Min basket ₹</t>
        </is>
      </c>
      <c r="F4" s="3" t="inlineStr">
        <is>
          <t>Cap ₹</t>
        </is>
      </c>
      <c r="G4" s="3" t="inlineStr">
        <is>
          <t>Category</t>
        </is>
      </c>
      <c r="H4" s="3" t="inlineStr">
        <is>
          <t>Validity</t>
        </is>
      </c>
      <c r="I4" s="3" t="inlineStr">
        <is>
          <t>Where seen</t>
        </is>
      </c>
      <c r="J4" s="3" t="inlineStr">
        <is>
          <t>Observed at</t>
        </is>
      </c>
      <c r="K4" s="3" t="inlineStr">
        <is>
          <t>Screenshot</t>
        </is>
      </c>
    </row>
    <row r="5">
      <c r="A5" s="4" t="inlineStr">
        <is>
          <t>Discounts, cashback, coupons</t>
        </is>
      </c>
      <c r="B5" s="4" t="inlineStr">
        <is>
          <t>claimed</t>
        </is>
      </c>
      <c r="C5" s="5" t="inlineStr"/>
      <c r="D5" s="4" t="inlineStr">
        <is>
          <t>"Download the app to get the best deals" (FAQ)</t>
        </is>
      </c>
      <c r="E5" s="5" t="inlineStr"/>
      <c r="F5" s="5" t="inlineStr"/>
      <c r="G5" s="5" t="inlineStr"/>
      <c r="H5" s="5" t="inlineStr"/>
      <c r="I5" s="4" t="inlineStr">
        <is>
          <t>FAQ</t>
        </is>
      </c>
      <c r="J5" s="4" t="inlineStr">
        <is>
          <t>2026-10-12</t>
        </is>
      </c>
      <c r="K5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4" customWidth="1" min="4" max="4"/>
    <col width="45" customWidth="1" min="5" max="5"/>
    <col width="30" customWidth="1" min="6" max="6"/>
    <col width="17" customWidth="1" min="7" max="7"/>
    <col width="23" customWidth="1" min="8" max="8"/>
    <col width="24" customWidth="1" min="9" max="9"/>
    <col width="18" customWidth="1" min="10" max="10"/>
    <col width="15" customWidth="1" min="11" max="11"/>
    <col width="14" customWidth="1" min="12" max="12"/>
  </cols>
  <sheetData>
    <row r="1">
      <c r="A1" s="1" t="inlineStr">
        <is>
          <t>Search Tests</t>
        </is>
      </c>
    </row>
    <row r="2">
      <c r="A2" s="2" t="inlineStr">
        <is>
          <t>Type the query in the site/app search at the fixed address. Results are not medical advice.</t>
        </is>
      </c>
    </row>
    <row r="4">
      <c r="A4" s="3" t="inlineStr">
        <is>
          <t>Query type</t>
        </is>
      </c>
      <c r="B4" s="3" t="inlineStr">
        <is>
          <t>Query</t>
        </is>
      </c>
      <c r="C4" s="3" t="inlineStr">
        <is>
          <t>Results (count)</t>
        </is>
      </c>
      <c r="D4" s="3" t="inlineStr">
        <is>
          <t>Exact match position</t>
        </is>
      </c>
      <c r="E4" s="3" t="inlineStr">
        <is>
          <t>Top 5 results</t>
        </is>
      </c>
      <c r="F4" s="3" t="inlineStr">
        <is>
          <t>Autocomplete / suggestions</t>
        </is>
      </c>
      <c r="G4" s="3" t="inlineStr">
        <is>
          <t>Typo handled?</t>
        </is>
      </c>
      <c r="H4" s="3" t="inlineStr">
        <is>
          <t>Out-of-stock shown?</t>
        </is>
      </c>
      <c r="I4" s="3" t="inlineStr">
        <is>
          <t>Alternatives offered</t>
        </is>
      </c>
      <c r="J4" s="3" t="inlineStr">
        <is>
          <t>Filters / sort</t>
        </is>
      </c>
      <c r="K4" s="3" t="inlineStr">
        <is>
          <t>Observed at</t>
        </is>
      </c>
      <c r="L4" s="3" t="inlineStr">
        <is>
          <t>Screenshot</t>
        </is>
      </c>
    </row>
    <row r="5">
      <c r="A5" s="4" t="inlineStr">
        <is>
          <t>brand</t>
        </is>
      </c>
      <c r="B5" s="4" t="inlineStr">
        <is>
          <t>Dolo 650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4" t="inlineStr">
        <is>
          <t>brand</t>
        </is>
      </c>
      <c r="B6" s="4" t="inlineStr">
        <is>
          <t>Pan 40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4" t="inlineStr">
        <is>
          <t>brand</t>
        </is>
      </c>
      <c r="B7" s="4" t="inlineStr">
        <is>
          <t>Crocin Advance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4" t="inlineStr">
        <is>
          <t>generic</t>
        </is>
      </c>
      <c r="B8" s="4" t="inlineStr">
        <is>
          <t>paracetamol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4" t="inlineStr">
        <is>
          <t>salt</t>
        </is>
      </c>
      <c r="B9" s="4" t="inlineStr">
        <is>
          <t>pantoprazole 40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4" t="inlineStr">
        <is>
          <t>salt</t>
        </is>
      </c>
      <c r="B10" s="4" t="inlineStr">
        <is>
          <t>metformin 500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4" t="inlineStr">
        <is>
          <t>typo</t>
        </is>
      </c>
      <c r="B11" s="4" t="inlineStr">
        <is>
          <t>paracetmol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4" t="inlineStr">
        <is>
          <t>typo</t>
        </is>
      </c>
      <c r="B12" s="4" t="inlineStr">
        <is>
          <t>azithromicin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4" t="inlineStr">
        <is>
          <t>no-space</t>
        </is>
      </c>
      <c r="B13" s="4" t="inlineStr">
        <is>
          <t>dolo650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4" t="inlineStr">
        <is>
          <t>partial</t>
        </is>
      </c>
      <c r="B14" s="4" t="inlineStr">
        <is>
          <t>thyro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4" t="inlineStr">
        <is>
          <t>symptom</t>
        </is>
      </c>
      <c r="B15" s="4" t="inlineStr">
        <is>
          <t>fever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4" t="inlineStr">
        <is>
          <t>symptom</t>
        </is>
      </c>
      <c r="B16" s="4" t="inlineStr">
        <is>
          <t>acidity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4" t="inlineStr">
        <is>
          <t>brand+strength</t>
        </is>
      </c>
      <c r="B17" s="4" t="inlineStr">
        <is>
          <t>Telma 40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4" t="inlineStr">
        <is>
          <t>brand+pack</t>
        </is>
      </c>
      <c r="B18" s="4" t="inlineStr">
        <is>
          <t>Ecosprin 75 strip of 14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4" t="inlineStr">
        <is>
          <t>device</t>
        </is>
      </c>
      <c r="B19" s="4" t="inlineStr">
        <is>
          <t>Accu-Chek Active strips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4" t="inlineStr">
        <is>
          <t>wellness</t>
        </is>
      </c>
      <c r="B20" s="4" t="inlineStr">
        <is>
          <t>Ensure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4" t="inlineStr">
        <is>
          <t>personal care</t>
        </is>
      </c>
      <c r="B21" s="4" t="inlineStr">
        <is>
          <t>Whisper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4" t="inlineStr">
        <is>
          <t>multi</t>
        </is>
      </c>
      <c r="B22" s="4" t="inlineStr">
        <is>
          <t>dolo 650, pan 40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4" t="inlineStr">
        <is>
          <t>cold chain</t>
        </is>
      </c>
      <c r="B23" s="4" t="inlineStr">
        <is>
          <t>insulin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4" t="inlineStr">
        <is>
          <t>Hindi</t>
        </is>
      </c>
      <c r="B24" s="4" t="inlineStr">
        <is>
          <t>bukhar ki dawai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</sheetData>
  <dataValidations count="1">
    <dataValidation sqref="G5:G200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4" customWidth="1" min="4" max="4"/>
    <col width="15" customWidth="1" min="5" max="5"/>
    <col width="14" customWidth="1" min="6" max="6"/>
  </cols>
  <sheetData>
    <row r="1">
      <c r="A1" s="1" t="inlineStr">
        <is>
          <t>Prescription Workflows</t>
        </is>
      </c>
    </row>
    <row r="2">
      <c r="A2" s="2" t="inlineStr">
        <is>
          <t>Never upload a real prescription or patient data. Status: observed / claimed / not_found / untestable.</t>
        </is>
      </c>
    </row>
    <row r="4">
      <c r="A4" s="3" t="inlineStr">
        <is>
          <t>Feature</t>
        </is>
      </c>
      <c r="B4" s="3" t="inlineStr">
        <is>
          <t>Status</t>
        </is>
      </c>
      <c r="C4" s="3" t="inlineStr">
        <is>
          <t>What is shown (exact)</t>
        </is>
      </c>
      <c r="D4" s="3" t="inlineStr">
        <is>
          <t>Source</t>
        </is>
      </c>
      <c r="E4" s="3" t="inlineStr">
        <is>
          <t>Observed at</t>
        </is>
      </c>
      <c r="F4" s="3" t="inlineStr">
        <is>
          <t>Screenshot</t>
        </is>
      </c>
    </row>
    <row r="5">
      <c r="A5" s="4" t="inlineStr">
        <is>
          <t>Prescription upload</t>
        </is>
      </c>
      <c r="B5" s="5" t="inlineStr">
        <is>
          <t>claimed</t>
        </is>
      </c>
      <c r="C5" s="5" t="inlineStr">
        <is>
          <t>Upload prescription on the app (FAQ, HowTo)</t>
        </is>
      </c>
      <c r="D5" s="5" t="inlineStr">
        <is>
          <t>https://plazza.in (schema.org JSON-LD in page HTML)</t>
        </is>
      </c>
      <c r="E5" s="5" t="inlineStr">
        <is>
          <t>2026-10-12</t>
        </is>
      </c>
      <c r="F5" s="5" t="n"/>
    </row>
    <row r="6">
      <c r="A6" s="4" t="inlineStr">
        <is>
          <t>Multiple prescriptions</t>
        </is>
      </c>
      <c r="B6" s="5" t="n"/>
      <c r="C6" s="5" t="n"/>
      <c r="D6" s="5" t="n"/>
      <c r="E6" s="5" t="n"/>
      <c r="F6" s="5" t="n"/>
    </row>
    <row r="7">
      <c r="A7" s="4" t="inlineStr">
        <is>
          <t>Multi-medicine order</t>
        </is>
      </c>
      <c r="B7" s="5" t="n"/>
      <c r="C7" s="5" t="n"/>
      <c r="D7" s="5" t="n"/>
      <c r="E7" s="5" t="n"/>
      <c r="F7" s="5" t="n"/>
    </row>
    <row r="8">
      <c r="A8" s="4" t="inlineStr">
        <is>
          <t>Pharmacist review messaging</t>
        </is>
      </c>
      <c r="B8" s="5" t="n"/>
      <c r="C8" s="5" t="n"/>
      <c r="D8" s="5" t="n"/>
      <c r="E8" s="5" t="n"/>
      <c r="F8" s="5" t="n"/>
    </row>
    <row r="9">
      <c r="A9" s="4" t="inlineStr">
        <is>
          <t>Rx-to-cart conversion</t>
        </is>
      </c>
      <c r="B9" s="5" t="n"/>
      <c r="C9" s="5" t="n"/>
      <c r="D9" s="5" t="n"/>
      <c r="E9" s="5" t="n"/>
      <c r="F9" s="5" t="n"/>
    </row>
    <row r="10">
      <c r="A10" s="4" t="inlineStr">
        <is>
          <t>Substitution consent</t>
        </is>
      </c>
      <c r="B10" s="5" t="n"/>
      <c r="C10" s="5" t="n"/>
      <c r="D10" s="5" t="n"/>
      <c r="E10" s="5" t="n"/>
      <c r="F10" s="5" t="n"/>
    </row>
    <row r="11">
      <c r="A11" s="4" t="inlineStr">
        <is>
          <t>Unavailable medicine handling</t>
        </is>
      </c>
      <c r="B11" s="5" t="n"/>
      <c r="C11" s="5" t="n"/>
      <c r="D11" s="5" t="n"/>
      <c r="E11" s="5" t="n"/>
      <c r="F11" s="5" t="n"/>
    </row>
    <row r="12">
      <c r="A12" s="4" t="inlineStr">
        <is>
          <t>Partial fulfilment</t>
        </is>
      </c>
      <c r="B12" s="5" t="n"/>
      <c r="C12" s="5" t="n"/>
      <c r="D12" s="5" t="n"/>
      <c r="E12" s="5" t="n"/>
      <c r="F12" s="5" t="n"/>
    </row>
    <row r="13">
      <c r="A13" s="4" t="inlineStr">
        <is>
          <t>Split deliveries</t>
        </is>
      </c>
      <c r="B13" s="5" t="n"/>
      <c r="C13" s="5" t="n"/>
      <c r="D13" s="5" t="n"/>
      <c r="E13" s="5" t="n"/>
      <c r="F13" s="5" t="n"/>
    </row>
    <row r="14">
      <c r="A14" s="4" t="inlineStr">
        <is>
          <t>Refill reminders</t>
        </is>
      </c>
      <c r="B14" s="5" t="n"/>
      <c r="C14" s="5" t="n"/>
      <c r="D14" s="5" t="n"/>
      <c r="E14" s="5" t="n"/>
      <c r="F14" s="5" t="n"/>
    </row>
    <row r="15">
      <c r="A15" s="4" t="inlineStr">
        <is>
          <t>Repeat orders</t>
        </is>
      </c>
      <c r="B15" s="5" t="n"/>
      <c r="C15" s="5" t="n"/>
      <c r="D15" s="5" t="n"/>
      <c r="E15" s="5" t="n"/>
      <c r="F15" s="5" t="n"/>
    </row>
    <row r="16">
      <c r="A16" s="4" t="inlineStr">
        <is>
          <t>Family profiles</t>
        </is>
      </c>
      <c r="B16" s="5" t="n"/>
      <c r="C16" s="5" t="n"/>
      <c r="D16" s="5" t="n"/>
      <c r="E16" s="5" t="n"/>
      <c r="F16" s="5" t="n"/>
    </row>
    <row r="17">
      <c r="A17" s="4" t="inlineStr">
        <is>
          <t>Saved prescriptions</t>
        </is>
      </c>
      <c r="B17" s="5" t="inlineStr">
        <is>
          <t>claimed</t>
        </is>
      </c>
      <c r="C17" s="5" t="inlineStr">
        <is>
          <t>/saved-prescriptions page listed in sitemap</t>
        </is>
      </c>
      <c r="D17" s="5" t="inlineStr">
        <is>
          <t>https://plazza.in/sitemap.xml</t>
        </is>
      </c>
      <c r="E17" s="5" t="inlineStr">
        <is>
          <t>2026-10-12</t>
        </is>
      </c>
      <c r="F17" s="5" t="n"/>
    </row>
    <row r="18">
      <c r="A18" s="4" t="inlineStr">
        <is>
          <t>WhatsApp ordering</t>
        </is>
      </c>
      <c r="B18" s="5" t="n"/>
      <c r="C18" s="5" t="n"/>
      <c r="D18" s="5" t="n"/>
      <c r="E18" s="5" t="n"/>
      <c r="F18" s="5" t="n"/>
    </row>
  </sheetData>
  <dataValidations count="1">
    <dataValidation sqref="B5:B100" showDropDown="0" showInputMessage="0" showErrorMessage="0" allowBlank="1" type="list">
      <formula1>"observed,claimed,not_found,untestable,pending"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0" customWidth="1" min="4" max="4"/>
    <col width="14" customWidth="1" min="5" max="5"/>
    <col width="15" customWidth="1" min="6" max="6"/>
  </cols>
  <sheetData>
    <row r="1">
      <c r="A1" s="1" t="inlineStr">
        <is>
          <t>Membership and Loyalty</t>
        </is>
      </c>
    </row>
    <row r="2">
      <c r="A2" s="2" t="inlineStr">
        <is>
          <t>Pinzzo benchmark column is our plan, not a competitor fact.</t>
        </is>
      </c>
    </row>
    <row r="4">
      <c r="A4" s="3" t="inlineStr">
        <is>
          <t>Feature</t>
        </is>
      </c>
      <c r="B4" s="3" t="inlineStr">
        <is>
          <t>Status</t>
        </is>
      </c>
      <c r="C4" s="3" t="inlineStr">
        <is>
          <t>Plazza (exact)</t>
        </is>
      </c>
      <c r="D4" s="3" t="inlineStr">
        <is>
          <t>Pinzzo benchmark</t>
        </is>
      </c>
      <c r="E4" s="3" t="inlineStr">
        <is>
          <t>Source</t>
        </is>
      </c>
      <c r="F4" s="3" t="inlineStr">
        <is>
          <t>Observed at</t>
        </is>
      </c>
    </row>
    <row r="5">
      <c r="A5" s="4" t="inlineStr">
        <is>
          <t>Membership plan</t>
        </is>
      </c>
      <c r="B5" s="5" t="inlineStr"/>
      <c r="C5" s="5" t="inlineStr"/>
      <c r="D5" s="5" t="inlineStr"/>
      <c r="E5" s="5" t="n"/>
      <c r="F5" s="5" t="n"/>
    </row>
    <row r="6">
      <c r="A6" s="4" t="inlineStr">
        <is>
          <t>Price</t>
        </is>
      </c>
      <c r="B6" s="5" t="inlineStr"/>
      <c r="C6" s="5" t="inlineStr"/>
      <c r="D6" s="4" t="inlineStr">
        <is>
          <t>₹149 / 90 days</t>
        </is>
      </c>
      <c r="E6" s="5" t="n"/>
      <c r="F6" s="5" t="n"/>
    </row>
    <row r="7">
      <c r="A7" s="4" t="inlineStr">
        <is>
          <t>Duration</t>
        </is>
      </c>
      <c r="B7" s="5" t="inlineStr"/>
      <c r="C7" s="5" t="inlineStr"/>
      <c r="D7" s="5" t="inlineStr"/>
      <c r="E7" s="5" t="n"/>
      <c r="F7" s="5" t="n"/>
    </row>
    <row r="8">
      <c r="A8" s="4" t="inlineStr">
        <is>
          <t>Free delivery</t>
        </is>
      </c>
      <c r="B8" s="5" t="inlineStr"/>
      <c r="C8" s="5" t="inlineStr"/>
      <c r="D8" s="5" t="inlineStr"/>
      <c r="E8" s="5" t="n"/>
      <c r="F8" s="5" t="n"/>
    </row>
    <row r="9">
      <c r="A9" s="4" t="inlineStr">
        <is>
          <t>Fee waivers</t>
        </is>
      </c>
      <c r="B9" s="5" t="inlineStr"/>
      <c r="C9" s="5" t="inlineStr"/>
      <c r="D9" s="5" t="inlineStr"/>
      <c r="E9" s="5" t="n"/>
      <c r="F9" s="5" t="n"/>
    </row>
    <row r="10">
      <c r="A10" s="4" t="inlineStr">
        <is>
          <t>Extra discount</t>
        </is>
      </c>
      <c r="B10" s="5" t="inlineStr"/>
      <c r="C10" s="5" t="inlineStr"/>
      <c r="D10" s="5" t="inlineStr"/>
      <c r="E10" s="5" t="n"/>
      <c r="F10" s="5" t="n"/>
    </row>
    <row r="11">
      <c r="A11" s="4" t="inlineStr">
        <is>
          <t>Family cover</t>
        </is>
      </c>
      <c r="B11" s="5" t="inlineStr"/>
      <c r="C11" s="5" t="inlineStr"/>
      <c r="D11" s="5" t="inlineStr"/>
      <c r="E11" s="5" t="n"/>
      <c r="F11" s="5" t="n"/>
    </row>
    <row r="12">
      <c r="A12" s="4" t="inlineStr">
        <is>
          <t>Renewal / cancellation terms</t>
        </is>
      </c>
      <c r="B12" s="5" t="inlineStr"/>
      <c r="C12" s="5" t="inlineStr"/>
      <c r="D12" s="5" t="inlineStr"/>
      <c r="E12" s="5" t="n"/>
      <c r="F12" s="5" t="n"/>
    </row>
    <row r="13">
      <c r="A13" s="4" t="inlineStr">
        <is>
          <t>Referral credit</t>
        </is>
      </c>
      <c r="B13" s="5" t="inlineStr"/>
      <c r="C13" s="5" t="inlineStr"/>
      <c r="D13" s="5" t="inlineStr"/>
      <c r="E13" s="5" t="n"/>
      <c r="F13" s="5" t="n"/>
    </row>
    <row r="14">
      <c r="A14" s="4" t="inlineStr">
        <is>
          <t>Loyalty points</t>
        </is>
      </c>
      <c r="B14" s="5" t="inlineStr"/>
      <c r="C14" s="5" t="inlineStr"/>
      <c r="D14" s="5" t="inlineStr"/>
      <c r="E14" s="5" t="n"/>
      <c r="F14" s="5" t="n"/>
    </row>
    <row r="15">
      <c r="A15" s="4" t="inlineStr">
        <is>
          <t>Wallet / cashback</t>
        </is>
      </c>
      <c r="B15" s="5" t="inlineStr">
        <is>
          <t>claimed</t>
        </is>
      </c>
      <c r="C15" s="5" t="inlineStr">
        <is>
          <t>"cashback offers" (FAQ)</t>
        </is>
      </c>
      <c r="D15" s="5" t="inlineStr"/>
      <c r="E15" s="5" t="inlineStr">
        <is>
          <t>https://plazza.in (schema.org JSON-LD in page HTML)</t>
        </is>
      </c>
      <c r="F15" s="5" t="inlineStr">
        <is>
          <t>2026-10-12</t>
        </is>
      </c>
    </row>
  </sheetData>
  <dataValidations count="1">
    <dataValidation sqref="B5:B100" showDropDown="0" showInputMessage="0" showErrorMessage="0" allowBlank="1" type="list">
      <formula1>"observed,claimed,not_found,untestable,pending"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18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WhatsApp and Ordering Channels</t>
        </is>
      </c>
    </row>
    <row r="2">
      <c r="A2" s="2" t="inlineStr">
        <is>
          <t>Public entry points only; no automated or bulk messaging.</t>
        </is>
      </c>
    </row>
    <row r="4">
      <c r="A4" s="3" t="inlineStr">
        <is>
          <t>Channel</t>
        </is>
      </c>
      <c r="B4" s="3" t="inlineStr">
        <is>
          <t>Status</t>
        </is>
      </c>
      <c r="C4" s="3" t="inlineStr">
        <is>
          <t>Entry point</t>
        </is>
      </c>
      <c r="D4" s="3" t="inlineStr">
        <is>
          <t>What it offers</t>
        </is>
      </c>
      <c r="E4" s="3" t="inlineStr">
        <is>
          <t>Hours</t>
        </is>
      </c>
      <c r="F4" s="3" t="inlineStr">
        <is>
          <t>Source</t>
        </is>
      </c>
      <c r="G4" s="3" t="inlineStr">
        <is>
          <t>Observed at</t>
        </is>
      </c>
    </row>
    <row r="5">
      <c r="A5" s="4" t="inlineStr">
        <is>
          <t>Website</t>
        </is>
      </c>
      <c r="B5" s="4" t="inlineStr">
        <is>
          <t>observed</t>
        </is>
      </c>
      <c r="C5" s="4" t="inlineStr">
        <is>
          <t>https://plazza.in</t>
        </is>
      </c>
      <c r="D5" s="4" t="inlineStr">
        <is>
          <t>Catalogue, cart (client-side)</t>
        </is>
      </c>
      <c r="E5" s="4" t="inlineStr">
        <is>
          <t>24/7 claimed</t>
        </is>
      </c>
      <c r="F5" s="4" t="inlineStr">
        <is>
          <t>https://plazza.in (schema.org JSON-LD in page HTML)</t>
        </is>
      </c>
      <c r="G5" s="4" t="inlineStr">
        <is>
          <t>2026-10-12</t>
        </is>
      </c>
    </row>
    <row r="6">
      <c r="A6" s="4" t="inlineStr">
        <is>
          <t>Android app</t>
        </is>
      </c>
      <c r="B6" s="4" t="inlineStr">
        <is>
          <t>observed</t>
        </is>
      </c>
      <c r="C6" s="4" t="inlineStr">
        <is>
          <t>https://play.google.com/store/apps/details?id=com.plazza.app</t>
        </is>
      </c>
      <c r="D6" s="5" t="inlineStr"/>
      <c r="E6" s="5" t="inlineStr"/>
      <c r="F6" s="4" t="inlineStr">
        <is>
          <t>https://plazza.in (schema.org JSON-LD in page HTML)</t>
        </is>
      </c>
      <c r="G6" s="4" t="inlineStr">
        <is>
          <t>2026-10-12</t>
        </is>
      </c>
    </row>
    <row r="7">
      <c r="A7" s="4" t="inlineStr">
        <is>
          <t>iOS app</t>
        </is>
      </c>
      <c r="B7" s="4" t="inlineStr">
        <is>
          <t>observed</t>
        </is>
      </c>
      <c r="C7" s="4" t="inlineStr">
        <is>
          <t>https://apps.apple.com/in/app/plazza-medicines-in-minutes/id6738200177</t>
        </is>
      </c>
      <c r="D7" s="5" t="inlineStr"/>
      <c r="E7" s="5" t="inlineStr"/>
      <c r="F7" s="4" t="inlineStr">
        <is>
          <t>https://plazza.in (schema.org JSON-LD in page HTML)</t>
        </is>
      </c>
      <c r="G7" s="4" t="inlineStr">
        <is>
          <t>2026-10-12</t>
        </is>
      </c>
    </row>
    <row r="8">
      <c r="A8" s="4" t="inlineStr">
        <is>
          <t>Email</t>
        </is>
      </c>
      <c r="B8" s="4" t="inlineStr">
        <is>
          <t>claimed</t>
        </is>
      </c>
      <c r="C8" s="4" t="inlineStr">
        <is>
          <t>support@plazza.in; founders@plazza.in</t>
        </is>
      </c>
      <c r="D8" s="5" t="inlineStr"/>
      <c r="E8" s="5" t="inlineStr"/>
      <c r="F8" s="4" t="inlineStr">
        <is>
          <t>https://plazza.in (schema.org JSON-LD in page HTML)</t>
        </is>
      </c>
      <c r="G8" s="4" t="inlineStr">
        <is>
          <t>2026-10-12</t>
        </is>
      </c>
    </row>
    <row r="9">
      <c r="A9" s="4" t="inlineStr">
        <is>
          <t>Phone</t>
        </is>
      </c>
      <c r="B9" s="4" t="inlineStr">
        <is>
          <t>not_found</t>
        </is>
      </c>
      <c r="C9" s="4" t="inlineStr">
        <is>
          <t>Structured data shows a placeholder "+91-XXXXX-XXXXX"</t>
        </is>
      </c>
      <c r="D9" s="5" t="inlineStr"/>
      <c r="E9" s="5" t="inlineStr"/>
      <c r="F9" s="4" t="inlineStr">
        <is>
          <t>https://plazza.in (schema.org JSON-LD in page HTML)</t>
        </is>
      </c>
      <c r="G9" s="4" t="inlineStr">
        <is>
          <t>2026-10-12</t>
        </is>
      </c>
    </row>
    <row r="10">
      <c r="A10" s="4" t="inlineStr">
        <is>
          <t>WhatsApp</t>
        </is>
      </c>
      <c r="B10" s="4" t="inlineStr">
        <is>
          <t>pending</t>
        </is>
      </c>
      <c r="C10" s="5" t="inlineStr"/>
      <c r="D10" s="5" t="inlineStr"/>
      <c r="E10" s="5" t="inlineStr"/>
      <c r="F10" s="5" t="inlineStr"/>
      <c r="G10" s="5" t="inlineStr"/>
    </row>
    <row r="11">
      <c r="A11" s="4" t="inlineStr">
        <is>
          <t>Instagram / LinkedIn</t>
        </is>
      </c>
      <c r="B11" s="4" t="inlineStr">
        <is>
          <t>observed</t>
        </is>
      </c>
      <c r="C11" s="4" t="inlineStr">
        <is>
          <t>instagram.com/plazza.in; linkedin.com/company/plazza-club</t>
        </is>
      </c>
      <c r="D11" s="5" t="inlineStr"/>
      <c r="E11" s="5" t="inlineStr"/>
      <c r="F11" s="4" t="inlineStr">
        <is>
          <t>https://plazza.in (schema.org JSON-LD in page HTML)</t>
        </is>
      </c>
      <c r="G11" s="4" t="inlineStr">
        <is>
          <t>2026-10-12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4" customWidth="1" min="3" max="3"/>
    <col width="14" customWidth="1" min="4" max="4"/>
    <col width="15" customWidth="1" min="5" max="5"/>
  </cols>
  <sheetData>
    <row r="1">
      <c r="A1" s="1" t="inlineStr">
        <is>
          <t>Serviceability</t>
        </is>
      </c>
    </row>
    <row r="2">
      <c r="A2" s="2" t="inlineStr">
        <is>
          <t>Use ONE fixed Bengaluru address for the whole study. Do not bypass location checks.</t>
        </is>
      </c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Kind</t>
        </is>
      </c>
      <c r="D4" s="3" t="inlineStr">
        <is>
          <t>Source</t>
        </is>
      </c>
      <c r="E4" s="3" t="inlineStr">
        <is>
          <t>Observed at</t>
        </is>
      </c>
    </row>
    <row r="5">
      <c r="A5" s="4" t="inlineStr">
        <is>
          <t>Fixed study address</t>
        </is>
      </c>
      <c r="B5" s="4" t="inlineStr">
        <is>
          <t>[choose a Bengaluru address, e.g. near Bellandur 560103]</t>
        </is>
      </c>
      <c r="C5" s="4" t="inlineStr">
        <is>
          <t>input</t>
        </is>
      </c>
      <c r="D5" s="5" t="inlineStr"/>
      <c r="E5" s="5" t="inlineStr"/>
    </row>
    <row r="6">
      <c r="A6" s="4" t="inlineStr">
        <is>
          <t>Serviceable at study address?</t>
        </is>
      </c>
      <c r="B6" s="5" t="inlineStr"/>
      <c r="C6" s="5" t="inlineStr"/>
      <c r="D6" s="5" t="inlineStr"/>
      <c r="E6" s="5" t="inlineStr"/>
    </row>
    <row r="7">
      <c r="A7" s="4" t="inlineStr">
        <is>
          <t>Location selection mechanism</t>
        </is>
      </c>
      <c r="B7" s="5" t="inlineStr"/>
      <c r="C7" s="5" t="inlineStr"/>
      <c r="D7" s="5" t="inlineStr"/>
      <c r="E7" s="5" t="inlineStr"/>
    </row>
    <row r="8">
      <c r="A8" s="4" t="inlineStr">
        <is>
          <t>Claimed service area</t>
        </is>
      </c>
      <c r="B8" s="4" t="inlineStr">
        <is>
          <t>Bengaluru</t>
        </is>
      </c>
      <c r="C8" s="4" t="inlineStr">
        <is>
          <t>claimed</t>
        </is>
      </c>
      <c r="D8" s="4" t="inlineStr">
        <is>
          <t>https://plazza.in (schema.org JSON-LD in page HTML)</t>
        </is>
      </c>
      <c r="E8" s="4" t="inlineStr">
        <is>
          <t>2026-10-12</t>
        </is>
      </c>
    </row>
    <row r="9">
      <c r="A9" s="4" t="inlineStr">
        <is>
          <t>Plazza office coordinates</t>
        </is>
      </c>
      <c r="B9" s="4" t="inlineStr">
        <is>
          <t>12.9327764, 77.6834966 (Bellandur)</t>
        </is>
      </c>
      <c r="C9" s="4" t="inlineStr">
        <is>
          <t>claimed</t>
        </is>
      </c>
      <c r="D9" s="4" t="inlineStr">
        <is>
          <t>https://plazza.in (schema.org JSON-LD in page HTML)</t>
        </is>
      </c>
      <c r="E9" s="4" t="inlineStr">
        <is>
          <t>2026-10-12</t>
        </is>
      </c>
    </row>
    <row r="10">
      <c r="A10" s="4" t="inlineStr">
        <is>
          <t>Operating hours</t>
        </is>
      </c>
      <c r="B10" s="4" t="inlineStr">
        <is>
          <t>24/7</t>
        </is>
      </c>
      <c r="C10" s="4" t="inlineStr">
        <is>
          <t>claimed</t>
        </is>
      </c>
      <c r="D10" s="4" t="inlineStr">
        <is>
          <t>https://plazza.in (schema.org JSON-LD in page HTML)</t>
        </is>
      </c>
      <c r="E10" s="4" t="inlineStr">
        <is>
          <t>2026-10-12</t>
        </is>
      </c>
    </row>
    <row r="11">
      <c r="A11" s="4" t="inlineStr">
        <is>
          <t>Overlap with Pinzzo (Gurugram)</t>
        </is>
      </c>
      <c r="B11" s="4" t="inlineStr">
        <is>
          <t>None observed: Plazza claims Bengaluru only</t>
        </is>
      </c>
      <c r="C11" s="4" t="inlineStr">
        <is>
          <t>observed</t>
        </is>
      </c>
      <c r="D11" s="4" t="inlineStr">
        <is>
          <t>https://plazza.in (schema.org JSON-LD in page HTML)</t>
        </is>
      </c>
      <c r="E11" s="4" t="inlineStr">
        <is>
          <t>2026-10-12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3" customWidth="1" min="4" max="4"/>
    <col width="18" customWidth="1" min="5" max="5"/>
    <col width="14" customWidth="1" min="6" max="6"/>
  </cols>
  <sheetData>
    <row r="1">
      <c r="A1" s="1" t="inlineStr">
        <is>
          <t>Customer Experience</t>
        </is>
      </c>
    </row>
    <row r="2">
      <c r="A2" s="2" t="inlineStr">
        <is>
          <t>Journey to the last screen before payment. Never place an order.</t>
        </is>
      </c>
    </row>
    <row r="4">
      <c r="A4" s="3" t="inlineStr">
        <is>
          <t>Step</t>
        </is>
      </c>
      <c r="B4" s="3" t="inlineStr">
        <is>
          <t>Required?</t>
        </is>
      </c>
      <c r="C4" s="3" t="inlineStr">
        <is>
          <t>What happens (exact)</t>
        </is>
      </c>
      <c r="D4" s="3" t="inlineStr">
        <is>
          <t>Friction / blockers</t>
        </is>
      </c>
      <c r="E4" s="3" t="inlineStr">
        <is>
          <t>Time taken (s)</t>
        </is>
      </c>
      <c r="F4" s="3" t="inlineStr">
        <is>
          <t>Screenshot</t>
        </is>
      </c>
    </row>
    <row r="5">
      <c r="A5" s="4" t="inlineStr">
        <is>
          <t>Landing</t>
        </is>
      </c>
      <c r="B5" s="5" t="n"/>
      <c r="C5" s="5" t="n"/>
      <c r="D5" s="5" t="n"/>
      <c r="E5" s="5" t="n"/>
      <c r="F5" s="5" t="n"/>
    </row>
    <row r="6">
      <c r="A6" s="4" t="inlineStr">
        <is>
          <t>Location selection</t>
        </is>
      </c>
      <c r="B6" s="5" t="n"/>
      <c r="C6" s="5" t="n"/>
      <c r="D6" s="5" t="n"/>
      <c r="E6" s="5" t="n"/>
      <c r="F6" s="5" t="n"/>
    </row>
    <row r="7">
      <c r="A7" s="4" t="inlineStr">
        <is>
          <t>Login (OTP)</t>
        </is>
      </c>
      <c r="B7" s="5" t="n"/>
      <c r="C7" s="5" t="n"/>
      <c r="D7" s="5" t="n"/>
      <c r="E7" s="5" t="n"/>
      <c r="F7" s="5" t="n"/>
    </row>
    <row r="8">
      <c r="A8" s="4" t="inlineStr">
        <is>
          <t>Search / browse</t>
        </is>
      </c>
      <c r="B8" s="5" t="n"/>
      <c r="C8" s="5" t="n"/>
      <c r="D8" s="5" t="n"/>
      <c r="E8" s="5" t="n"/>
      <c r="F8" s="5" t="n"/>
    </row>
    <row r="9">
      <c r="A9" s="4" t="inlineStr">
        <is>
          <t>Product page</t>
        </is>
      </c>
      <c r="B9" s="5" t="n"/>
      <c r="C9" s="5" t="n"/>
      <c r="D9" s="5" t="n"/>
      <c r="E9" s="5" t="n"/>
      <c r="F9" s="5" t="n"/>
    </row>
    <row r="10">
      <c r="A10" s="4" t="inlineStr">
        <is>
          <t>Add to cart</t>
        </is>
      </c>
      <c r="B10" s="5" t="n"/>
      <c r="C10" s="5" t="n"/>
      <c r="D10" s="5" t="n"/>
      <c r="E10" s="5" t="n"/>
      <c r="F10" s="5" t="n"/>
    </row>
    <row r="11">
      <c r="A11" s="4" t="inlineStr">
        <is>
          <t>Cart</t>
        </is>
      </c>
      <c r="B11" s="5" t="n"/>
      <c r="C11" s="5" t="n"/>
      <c r="D11" s="5" t="n"/>
      <c r="E11" s="5" t="n"/>
      <c r="F11" s="5" t="n"/>
    </row>
    <row r="12">
      <c r="A12" s="4" t="inlineStr">
        <is>
          <t>Address</t>
        </is>
      </c>
      <c r="B12" s="5" t="n"/>
      <c r="C12" s="5" t="n"/>
      <c r="D12" s="5" t="n"/>
      <c r="E12" s="5" t="n"/>
      <c r="F12" s="5" t="n"/>
    </row>
    <row r="13">
      <c r="A13" s="4" t="inlineStr">
        <is>
          <t>Prescription step</t>
        </is>
      </c>
      <c r="B13" s="5" t="n"/>
      <c r="C13" s="5" t="n"/>
      <c r="D13" s="5" t="n"/>
      <c r="E13" s="5" t="n"/>
      <c r="F13" s="5" t="n"/>
    </row>
    <row r="14">
      <c r="A14" s="4" t="inlineStr">
        <is>
          <t>Coupon</t>
        </is>
      </c>
      <c r="B14" s="5" t="n"/>
      <c r="C14" s="5" t="n"/>
      <c r="D14" s="5" t="n"/>
      <c r="E14" s="5" t="n"/>
      <c r="F14" s="5" t="n"/>
    </row>
    <row r="15">
      <c r="A15" s="4" t="inlineStr">
        <is>
          <t>Checkout summary (stop here)</t>
        </is>
      </c>
      <c r="B15" s="5" t="n"/>
      <c r="C15" s="5" t="n"/>
      <c r="D15" s="5" t="n"/>
      <c r="E15" s="5" t="n"/>
      <c r="F15" s="5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4" customWidth="1" min="3" max="3"/>
    <col width="40" customWidth="1" min="4" max="4"/>
    <col width="15" customWidth="1" min="5" max="5"/>
  </cols>
  <sheetData>
    <row r="1">
      <c r="A1" s="1" t="inlineStr">
        <is>
          <t>Policies and Compliance</t>
        </is>
      </c>
    </row>
    <row r="2">
      <c r="A2" s="2" t="inlineStr">
        <is>
          <t>Record source URL and date for each item.</t>
        </is>
      </c>
    </row>
    <row r="4">
      <c r="A4" s="3" t="inlineStr">
        <is>
          <t>Item</t>
        </is>
      </c>
      <c r="B4" s="3" t="inlineStr">
        <is>
          <t>Value / summary</t>
        </is>
      </c>
      <c r="C4" s="3" t="inlineStr">
        <is>
          <t>Status</t>
        </is>
      </c>
      <c r="D4" s="3" t="inlineStr">
        <is>
          <t>Source</t>
        </is>
      </c>
      <c r="E4" s="3" t="inlineStr">
        <is>
          <t>Observed at</t>
        </is>
      </c>
    </row>
    <row r="5">
      <c r="A5" s="4" t="inlineStr">
        <is>
          <t>Legal entity</t>
        </is>
      </c>
      <c r="B5" s="4" t="inlineStr">
        <is>
          <t>PLAZZA HEALTH PRIVATE LIMITED</t>
        </is>
      </c>
      <c r="C5" s="4" t="inlineStr">
        <is>
          <t>claimed</t>
        </is>
      </c>
      <c r="D5" s="4" t="inlineStr">
        <is>
          <t>https://plazza.in (schema.org JSON-LD in page HTML)</t>
        </is>
      </c>
      <c r="E5" s="4" t="inlineStr">
        <is>
          <t>2026-10-12</t>
        </is>
      </c>
    </row>
    <row r="6">
      <c r="A6" s="4" t="inlineStr">
        <is>
          <t>Address</t>
        </is>
      </c>
      <c r="B6" s="4" t="inlineStr">
        <is>
          <t>Bellandur, Bengaluru 560103</t>
        </is>
      </c>
      <c r="C6" s="4" t="inlineStr">
        <is>
          <t>claimed</t>
        </is>
      </c>
      <c r="D6" s="4" t="inlineStr">
        <is>
          <t>https://plazza.in (schema.org JSON-LD in page HTML)</t>
        </is>
      </c>
      <c r="E6" s="4" t="inlineStr">
        <is>
          <t>2026-10-12</t>
        </is>
      </c>
    </row>
    <row r="7">
      <c r="A7" s="4" t="inlineStr">
        <is>
          <t>Drug licence number</t>
        </is>
      </c>
      <c r="B7" s="5" t="inlineStr"/>
      <c r="C7" s="4" t="inlineStr">
        <is>
          <t>pending</t>
        </is>
      </c>
      <c r="D7" s="4" t="inlineStr">
        <is>
          <t>not found in page HTML</t>
        </is>
      </c>
      <c r="E7" s="4" t="inlineStr">
        <is>
          <t>2026-10-12</t>
        </is>
      </c>
    </row>
    <row r="8">
      <c r="A8" s="4" t="inlineStr">
        <is>
          <t>Terms</t>
        </is>
      </c>
      <c r="B8" s="4" t="inlineStr">
        <is>
          <t>Text loads client-side; capture manually</t>
        </is>
      </c>
      <c r="C8" s="4" t="inlineStr">
        <is>
          <t>pending</t>
        </is>
      </c>
      <c r="D8" s="4" t="inlineStr">
        <is>
          <t>https://plazza.in/terms</t>
        </is>
      </c>
      <c r="E8" s="4" t="inlineStr">
        <is>
          <t>2026-10-12</t>
        </is>
      </c>
    </row>
    <row r="9">
      <c r="A9" s="4" t="inlineStr">
        <is>
          <t>Privacy policy</t>
        </is>
      </c>
      <c r="B9" s="4" t="inlineStr">
        <is>
          <t>Text loads client-side; capture manually</t>
        </is>
      </c>
      <c r="C9" s="4" t="inlineStr">
        <is>
          <t>pending</t>
        </is>
      </c>
      <c r="D9" s="4" t="inlineStr">
        <is>
          <t>https://plazza.in/privacy-policy</t>
        </is>
      </c>
      <c r="E9" s="4" t="inlineStr">
        <is>
          <t>2026-10-12</t>
        </is>
      </c>
    </row>
    <row r="10">
      <c r="A10" s="4" t="inlineStr">
        <is>
          <t>Cancellation &amp; refund</t>
        </is>
      </c>
      <c r="B10" s="4" t="inlineStr">
        <is>
          <t>Text loads client-side; capture manually</t>
        </is>
      </c>
      <c r="C10" s="4" t="inlineStr">
        <is>
          <t>pending</t>
        </is>
      </c>
      <c r="D10" s="4" t="inlineStr">
        <is>
          <t>https://plazza.in/cancellation-refund</t>
        </is>
      </c>
      <c r="E10" s="4" t="inlineStr">
        <is>
          <t>2026-10-12</t>
        </is>
      </c>
    </row>
    <row r="11">
      <c r="A11" s="4" t="inlineStr">
        <is>
          <t>Grievance officer</t>
        </is>
      </c>
      <c r="B11" s="5" t="inlineStr"/>
      <c r="C11" s="4" t="inlineStr">
        <is>
          <t>pending</t>
        </is>
      </c>
      <c r="D11" s="5" t="inlineStr"/>
      <c r="E11" s="4" t="inlineStr">
        <is>
          <t>2026-10-12</t>
        </is>
      </c>
    </row>
    <row r="12">
      <c r="A12" s="4" t="inlineStr">
        <is>
          <t>Medicines genuine / licensed claim</t>
        </is>
      </c>
      <c r="B12" s="4" t="inlineStr">
        <is>
          <t>"licensed pharmacy", "100% genuine" (FAQ)</t>
        </is>
      </c>
      <c r="C12" s="4" t="inlineStr">
        <is>
          <t>claimed</t>
        </is>
      </c>
      <c r="D12" s="4" t="inlineStr">
        <is>
          <t>https://plazza.in (schema.org JSON-LD in page HTML)</t>
        </is>
      </c>
      <c r="E12" s="4" t="inlineStr">
        <is>
          <t>2026-10-12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</cols>
  <sheetData>
    <row r="1">
      <c r="A1" s="1" t="inlineStr">
        <is>
          <t>Change Detection</t>
        </is>
      </c>
    </row>
    <row r="2">
      <c r="A2" s="2" t="inlineStr">
        <is>
          <t>One row per repeat observation of the same product. A single snapshot is not a trend.</t>
        </is>
      </c>
    </row>
    <row r="4">
      <c r="A4" s="3" t="inlineStr">
        <is>
          <t>Snapshot ID</t>
        </is>
      </c>
      <c r="B4" s="3" t="inlineStr">
        <is>
          <t>Observed at</t>
        </is>
      </c>
      <c r="C4" s="3" t="inlineStr">
        <is>
          <t>Address PIN</t>
        </is>
      </c>
      <c r="D4" s="3" t="inlineStr">
        <is>
          <t>Product (Obs ID)</t>
        </is>
      </c>
      <c r="E4" s="3" t="inlineStr">
        <is>
          <t>MRP ₹</t>
        </is>
      </c>
      <c r="F4" s="3" t="inlineStr">
        <is>
          <t>Selling ₹</t>
        </is>
      </c>
      <c r="G4" s="3" t="inlineStr">
        <is>
          <t>Availability</t>
        </is>
      </c>
      <c r="H4" s="3" t="inlineStr">
        <is>
          <t>ETA text</t>
        </is>
      </c>
      <c r="I4" s="3" t="inlineStr">
        <is>
          <t>Fees text</t>
        </is>
      </c>
      <c r="J4" s="3" t="inlineStr">
        <is>
          <t>Promo</t>
        </is>
      </c>
      <c r="K4" s="3" t="inlineStr">
        <is>
          <t>Changed vs previous?</t>
        </is>
      </c>
      <c r="L4" s="3" t="inlineStr">
        <is>
          <t>Notes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35" customWidth="1" min="3" max="3"/>
    <col width="50" customWidth="1" min="4" max="4"/>
  </cols>
  <sheetData>
    <row r="1">
      <c r="A1" s="1" t="inlineStr">
        <is>
          <t>Pinzzo Comparison</t>
        </is>
      </c>
    </row>
    <row r="2">
      <c r="A2" s="2" t="inlineStr">
        <is>
          <t>Competitor column = observed or claimed facts only. Opportunity is our analysis.</t>
        </is>
      </c>
    </row>
    <row r="4">
      <c r="A4" s="3" t="inlineStr">
        <is>
          <t>Dimension</t>
        </is>
      </c>
      <c r="B4" s="3" t="inlineStr">
        <is>
          <t>Plazza observed / claimed</t>
        </is>
      </c>
      <c r="C4" s="3" t="inlineStr">
        <is>
          <t>Pinzzo benchmark</t>
        </is>
      </c>
      <c r="D4" s="3" t="inlineStr">
        <is>
          <t>Opportunity</t>
        </is>
      </c>
    </row>
    <row r="5">
      <c r="A5" s="4" t="inlineStr">
        <is>
          <t>Delivery ETA</t>
        </is>
      </c>
      <c r="B5" s="4" t="inlineStr">
        <is>
          <t>15 min (claimed)</t>
        </is>
      </c>
      <c r="C5" s="4" t="inlineStr">
        <is>
          <t>30–40 min</t>
        </is>
      </c>
      <c r="D5" s="5" t="n"/>
    </row>
    <row r="6">
      <c r="A6" s="4" t="inlineStr">
        <is>
          <t>Operating hours</t>
        </is>
      </c>
      <c r="B6" s="4" t="inlineStr">
        <is>
          <t>24/7 (claimed)</t>
        </is>
      </c>
      <c r="C6" s="4" t="inlineStr">
        <is>
          <t>TBD</t>
        </is>
      </c>
      <c r="D6" s="5" t="n"/>
    </row>
    <row r="7">
      <c r="A7" s="4" t="inlineStr">
        <is>
          <t>Assortment</t>
        </is>
      </c>
      <c r="B7" s="4" t="inlineStr">
        <is>
          <t>20,000–100,000+ (claims conflict)</t>
        </is>
      </c>
      <c r="C7" s="4" t="inlineStr">
        <is>
          <t>Medicine-first, localised</t>
        </is>
      </c>
      <c r="D7" s="5" t="n"/>
    </row>
    <row r="8">
      <c r="A8" s="4" t="inlineStr">
        <is>
          <t>SKU availability</t>
        </is>
      </c>
      <c r="B8" s="4" t="inlineStr">
        <is>
          <t>pending manual sample</t>
        </is>
      </c>
      <c r="C8" s="4" t="inlineStr">
        <is>
          <t>Localisation-led</t>
        </is>
      </c>
      <c r="D8" s="5" t="n"/>
    </row>
    <row r="9">
      <c r="A9" s="4" t="inlineStr">
        <is>
          <t>Minimum order</t>
        </is>
      </c>
      <c r="B9" s="4" t="inlineStr">
        <is>
          <t>None (claimed)</t>
        </is>
      </c>
      <c r="C9" s="4" t="inlineStr">
        <is>
          <t>TBD</t>
        </is>
      </c>
      <c r="D9" s="5" t="n"/>
    </row>
    <row r="10">
      <c r="A10" s="4" t="inlineStr">
        <is>
          <t>Delivery fees</t>
        </is>
      </c>
      <c r="B10" s="4" t="inlineStr">
        <is>
          <t>₹0 in Offer data; checkout fees pending</t>
        </is>
      </c>
      <c r="C10" s="4" t="inlineStr">
        <is>
          <t>₹25 under ₹499; ₹5 handling; ₹15 night</t>
        </is>
      </c>
      <c r="D10" s="5" t="n"/>
    </row>
    <row r="11">
      <c r="A11" s="4" t="inlineStr">
        <is>
          <t>Discounts</t>
        </is>
      </c>
      <c r="B11" s="4" t="inlineStr">
        <is>
          <t>Coupons/cashback claimed; depth pending</t>
        </is>
      </c>
      <c r="C11" s="4" t="inlineStr">
        <is>
          <t>10% model assumption</t>
        </is>
      </c>
      <c r="D11" s="5" t="n"/>
    </row>
    <row r="12">
      <c r="A12" s="4" t="inlineStr">
        <is>
          <t>Membership</t>
        </is>
      </c>
      <c r="B12" s="4" t="inlineStr">
        <is>
          <t>pending</t>
        </is>
      </c>
      <c r="C12" s="4" t="inlineStr">
        <is>
          <t>₹149 / 90 days</t>
        </is>
      </c>
      <c r="D12" s="5" t="n"/>
    </row>
    <row r="13">
      <c r="A13" s="4" t="inlineStr">
        <is>
          <t>Prescription ordering</t>
        </is>
      </c>
      <c r="B13" s="4" t="inlineStr">
        <is>
          <t>Upload in app (claimed); saved prescriptions page exists</t>
        </is>
      </c>
      <c r="C13" s="4" t="inlineStr">
        <is>
          <t>Multi-prescription</t>
        </is>
      </c>
      <c r="D13" s="5" t="n"/>
    </row>
    <row r="14">
      <c r="A14" s="4" t="inlineStr">
        <is>
          <t>WhatsApp ordering</t>
        </is>
      </c>
      <c r="B14" s="4" t="inlineStr">
        <is>
          <t>pending</t>
        </is>
      </c>
      <c r="C14" s="4" t="inlineStr">
        <is>
          <t>Planned</t>
        </is>
      </c>
      <c r="D14" s="5" t="n"/>
    </row>
    <row r="15">
      <c r="A15" s="4" t="inlineStr">
        <is>
          <t>Split shipments</t>
        </is>
      </c>
      <c r="B15" s="4" t="inlineStr">
        <is>
          <t>pending</t>
        </is>
      </c>
      <c r="C15" s="4" t="inlineStr">
        <is>
          <t>Avoid</t>
        </is>
      </c>
      <c r="D15" s="5" t="n"/>
    </row>
    <row r="16">
      <c r="A16" s="4" t="inlineStr">
        <is>
          <t>Geography</t>
        </is>
      </c>
      <c r="B16" s="4" t="inlineStr">
        <is>
          <t>Bengaluru</t>
        </is>
      </c>
      <c r="C16" s="4" t="inlineStr">
        <is>
          <t>Gurugram (no overlap today)</t>
        </is>
      </c>
      <c r="D16" s="5" t="n"/>
    </row>
    <row r="17">
      <c r="A17" s="4" t="inlineStr">
        <is>
          <t>Customer retention</t>
        </is>
      </c>
      <c r="B17" s="4" t="inlineStr">
        <is>
          <t>Public evidence only: app 4.1 from 31 ratings (their page)</t>
        </is>
      </c>
      <c r="C17" s="4" t="inlineStr">
        <is>
          <t>Refill-led</t>
        </is>
      </c>
      <c r="D17" s="5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90" customWidth="1" min="3" max="3"/>
  </cols>
  <sheetData>
    <row r="1">
      <c r="A1" s="1" t="inlineStr">
        <is>
          <t>Data Quality and Limitations</t>
        </is>
      </c>
    </row>
    <row r="2">
      <c r="A2" s="2" t="inlineStr">
        <is>
          <t>Register of every constraint and exclusion.</t>
        </is>
      </c>
    </row>
    <row r="4">
      <c r="A4" s="3" t="inlineStr">
        <is>
          <t>Area</t>
        </is>
      </c>
      <c r="B4" s="3" t="inlineStr">
        <is>
          <t>Status</t>
        </is>
      </c>
      <c r="C4" s="3" t="inlineStr">
        <is>
          <t>Detail</t>
        </is>
      </c>
    </row>
    <row r="5">
      <c r="A5" s="4" t="inlineStr">
        <is>
          <t>Automated product, price and stock collection</t>
        </is>
      </c>
      <c r="B5" s="4" t="inlineStr">
        <is>
          <t>Not performed</t>
        </is>
      </c>
      <c r="C5" s="4" t="inlineStr">
        <is>
          <t>Product data loads only from /api/, which plazza.in/robots.txt disallows for all crawlers. Collected manually instead.</t>
        </is>
      </c>
    </row>
    <row r="6">
      <c r="A6" s="4" t="inlineStr">
        <is>
          <t>Policy pages</t>
        </is>
      </c>
      <c r="B6" s="4" t="inlineStr">
        <is>
          <t>Manual only</t>
        </is>
      </c>
      <c r="C6" s="4" t="inlineStr">
        <is>
          <t>Terms, privacy and refund text is rendered client-side from the same API.</t>
        </is>
      </c>
    </row>
    <row r="7">
      <c r="A7" s="4" t="inlineStr">
        <is>
          <t>Assortment claims</t>
        </is>
      </c>
      <c r="B7" s="4" t="inlineStr">
        <is>
          <t>Conflicting</t>
        </is>
      </c>
      <c r="C7" s="4" t="inlineStr">
        <is>
          <t>Page structured data says 20,000+, 35,000+ and 100,000+ in different blocks.</t>
        </is>
      </c>
    </row>
    <row r="8">
      <c r="A8" s="4" t="inlineStr">
        <is>
          <t>Structured data freshness</t>
        </is>
      </c>
      <c r="B8" s="4" t="inlineStr">
        <is>
          <t>Stale fields</t>
        </is>
      </c>
      <c r="C8" s="4" t="inlineStr">
        <is>
          <t>priceValidUntil 2025-12-31; phone is a placeholder.</t>
        </is>
      </c>
    </row>
    <row r="9">
      <c r="A9" s="4" t="inlineStr">
        <is>
          <t>App rating</t>
        </is>
      </c>
      <c r="B9" s="4" t="inlineStr">
        <is>
          <t>Unverified</t>
        </is>
      </c>
      <c r="C9" s="4" t="inlineStr">
        <is>
          <t>4.1 / 31 ratings is Plazza's own markup, not checked on the stores.</t>
        </is>
      </c>
    </row>
    <row r="10">
      <c r="A10" s="4" t="inlineStr">
        <is>
          <t>Geography</t>
        </is>
      </c>
      <c r="B10" s="4" t="inlineStr">
        <is>
          <t>Different market</t>
        </is>
      </c>
      <c r="C10" s="4" t="inlineStr">
        <is>
          <t>Plazza claims Bengaluru only; findings benchmark the model, not Gurugram prices.</t>
        </is>
      </c>
    </row>
    <row r="11">
      <c r="A11" s="4" t="inlineStr">
        <is>
          <t>Inventory quantities</t>
        </is>
      </c>
      <c r="B11" s="4" t="inlineStr">
        <is>
          <t>Out of scope</t>
        </is>
      </c>
      <c r="C11" s="4" t="inlineStr">
        <is>
          <t>Not inferred from add-to-cart or any probing.</t>
        </is>
      </c>
    </row>
    <row r="12">
      <c r="A12" s="4" t="inlineStr">
        <is>
          <t>Orders, payments, real prescriptions</t>
        </is>
      </c>
      <c r="B12" s="4" t="inlineStr">
        <is>
          <t>Out of scope</t>
        </is>
      </c>
      <c r="C12" s="4" t="inlineStr">
        <is>
          <t>No orders placed, no payments, no medical documents uploaded.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2026-10-12T17:55:48Z</dcterms:created>
  <dcterms:modified xmlns:dcterms="http://purl.org/dc/terms/" xmlns:xsi="http://www.w3.org/2001/XMLSchema-instance" xsi:type="dcterms:W3CDTF">2026-10-12T17:55:48Z</dcterms:modified>
</cp:coreProperties>
</file>